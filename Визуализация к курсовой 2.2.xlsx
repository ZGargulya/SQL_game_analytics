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rgulya1\Desktop\аналитик\SQL\для курсовой\"/>
    </mc:Choice>
  </mc:AlternateContent>
  <xr:revisionPtr revIDLastSave="0" documentId="13_ncr:1_{D7CF895F-29DA-4AFD-81A3-FD9194C8CE4A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Задача 1 ТЗ-2" sheetId="1" r:id="rId1"/>
    <sheet name="Задача 2 ТЗ-2" sheetId="2" r:id="rId2"/>
    <sheet name="Задача 3 ТЗ-2" sheetId="3" r:id="rId3"/>
    <sheet name="Задача 4 ТЗ-2" sheetId="4" r:id="rId4"/>
    <sheet name="Задача 5 ТЗ-2" sheetId="5" r:id="rId5"/>
  </sheets>
  <definedNames>
    <definedName name="_xlnm._FilterDatabase" localSheetId="0" hidden="1">'Задача 1 ТЗ-2'!$A$1:$C$1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<sst xmlns="http://schemas.openxmlformats.org/spreadsheetml/2006/main" count="126" uniqueCount="76">
  <si>
    <t>mm</t>
  </si>
  <si>
    <t>type</t>
  </si>
  <si>
    <t>revenue</t>
  </si>
  <si>
    <t>Ammo</t>
  </si>
  <si>
    <t>Currency</t>
  </si>
  <si>
    <t>Materials</t>
  </si>
  <si>
    <t>Transport</t>
  </si>
  <si>
    <t>Weapon</t>
  </si>
  <si>
    <t>Названия строк</t>
  </si>
  <si>
    <t>Общий итог</t>
  </si>
  <si>
    <t>2022</t>
  </si>
  <si>
    <t>июл</t>
  </si>
  <si>
    <t>авг</t>
  </si>
  <si>
    <t>сен</t>
  </si>
  <si>
    <t>окт</t>
  </si>
  <si>
    <t>ноя</t>
  </si>
  <si>
    <t>дек</t>
  </si>
  <si>
    <t>2023</t>
  </si>
  <si>
    <t>янв</t>
  </si>
  <si>
    <t>фев</t>
  </si>
  <si>
    <t>мар</t>
  </si>
  <si>
    <t>апр</t>
  </si>
  <si>
    <t>Названия столбцов</t>
  </si>
  <si>
    <t>Сумма по полю revenue</t>
  </si>
  <si>
    <t>Больше всего денег всегда приносит Валюта (Currency), особенно на графике выделяется скачок в марте 2023 года.</t>
  </si>
  <si>
    <t>Такой же скачок в меньшем масштабе мы видим для 2-х других типов продуктов- Аммуниция и Предметы.</t>
  </si>
  <si>
    <t>А для Транспорта и Оружия с течением времени особенных изменений не происходит, суммарные выплаты по ним</t>
  </si>
  <si>
    <t>стабильны весь рассматриваемый период.</t>
  </si>
  <si>
    <t xml:space="preserve">Повышение цены на покупку 1 кристалла негативно повлияло на среднее количество приобретаемых </t>
  </si>
  <si>
    <t>кристаллов в течении времени, зато очень позитивно отразилось на суммарной выручке.</t>
  </si>
  <si>
    <t>cnt</t>
  </si>
  <si>
    <t>interv</t>
  </si>
  <si>
    <t>Средняя выручка на 1 человека на 1 месяц</t>
  </si>
  <si>
    <t>Наше маркетинговой воздействие нет необходимости распределять на все когорты поровну, потому что</t>
  </si>
  <si>
    <t>более поздние когорты более "щедрые" на покупку игровых предметов.</t>
  </si>
  <si>
    <t>Лучше работать с этими когортами.</t>
  </si>
  <si>
    <t>flag_loyal</t>
  </si>
  <si>
    <t>avg_len</t>
  </si>
  <si>
    <t>0 years 0 mons 0 days 3 hours 37 mins 8.557994 secs</t>
  </si>
  <si>
    <t>0 years 0 mons 0 days 2 hours 57 mins 3.938942 secs</t>
  </si>
  <si>
    <t>Алгоритм решения:</t>
  </si>
  <si>
    <t>• остальные когорты</t>
  </si>
  <si>
    <t>Рассчитайте среднюю длительность игровых сессий для каждого из сегментов</t>
  </si>
  <si>
    <t>Для расчета средней длительности берите только сессии длиннее 5 минут.</t>
  </si>
  <si>
    <t>Факт: В ноябре и декабре 2022 года была опробована альтернативная стратегия привлечения клиентов.</t>
  </si>
  <si>
    <t>Проверьте следующую гипотезу: в ноябре и декабре 2022 года из-за более дорогой и таргетированной рекламы мы приобрели более “лояльных” игроков, которые больше времени посвящают нашей игре.</t>
  </si>
  <si>
    <t>Чтобы не терять пользователей, у которых нет игровых сессий, используйте LEFT JOIN таблицы game_sessions к таблице users.</t>
  </si>
  <si>
    <t> С помощью конструкции case when разбейте выборку клиентов на 2 сегмента:</t>
  </si>
  <si>
    <t>• когорта 11-12.2022</t>
  </si>
  <si>
    <t>Вывод:</t>
  </si>
  <si>
    <t>Исходя из средней длительности игровых сессий, видно что когорта пришедшая в игру в ноябре-декабре 2022 года</t>
  </si>
  <si>
    <t xml:space="preserve">благодаря альтернативной стратегии привлечения клиентов, в среднем посвящает игре 3 часа 37 минут, </t>
  </si>
  <si>
    <t>в то время как другие только 2 часа 57 минут.</t>
  </si>
  <si>
    <t>k_factor</t>
  </si>
  <si>
    <t>avg_volume_coh</t>
  </si>
  <si>
    <t>exp_volume_coh</t>
  </si>
  <si>
    <t>Рассчитайте K-factor нашей игры.</t>
  </si>
  <si>
    <t>Рассчитайте, сколько пользователей нам принесет одна будущая среднестатистическая когорта в результате.</t>
  </si>
  <si>
    <t>K-factor - это метрика, которая показывает “вирусность” игры. Благодаря ней можно определить до какого размера вырастет наша текущая клиентская база за счёт приглашений друзей. K-factor рассчитывается как произведение двух показателей: среднего количества друзей, которых пригласит в игру один пользователей, и процент друзей, которые в конце концов установят игру.</t>
  </si>
  <si>
    <t>Прогнозирование результирующего объема когорты:</t>
  </si>
  <si>
    <t>Рассчитаем средний объем когорты как общее количество пользователей разделить на количество месяцев наблюдаемого периода</t>
  </si>
  <si>
    <t>Умножаем исторический средний размер когорты на K-factor и получаем ее “ожидаемый” объем с учетом “вирусности” игры.</t>
  </si>
  <si>
    <t>К-фактор = 0,92</t>
  </si>
  <si>
    <t>Средний объем когорты 342</t>
  </si>
  <si>
    <t>“ожидаемый” объем с учетом “вирусности” игры</t>
  </si>
  <si>
    <t>Валюта</t>
  </si>
  <si>
    <t>Аммуниция</t>
  </si>
  <si>
    <t>Транспорт</t>
  </si>
  <si>
    <t>Оружие</t>
  </si>
  <si>
    <t>Материалы</t>
  </si>
  <si>
    <t>Среднее кол-во</t>
  </si>
  <si>
    <t>Выручка</t>
  </si>
  <si>
    <t xml:space="preserve">Средняя выручка за весь период </t>
  </si>
  <si>
    <t>Средняя выручка за месяц</t>
  </si>
  <si>
    <t>Средний объем когорты</t>
  </si>
  <si>
    <t>К-фактор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</si>
</sst>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,\ yyyy\,\ h:mm\ AM/PM"/>
    <numFmt numFmtId="165" formatCode="#,##0.##"/>
  </numFmts>
  <fonts count="2" x14ac:knownFonts="1">
    <font>
      <sz val="11"/>
      <color indexed="8"/>
      <name val="Calibri"/>
      <family val="2"/>
      <scheme val="minor"/>
    </font>
    <font>
      <sz val="11"/>
      <color rgb="FF0F111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0" fontId="0" fillId="0" borderId="0" xfId="0"/>
    <xf numFmtId="3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2" borderId="1" xfId="0" applyFill="1" applyBorder="1"/>
    <xf numFmtId="0" fontId="0" fillId="2" borderId="7" xfId="0" applyFill="1" applyBorder="1"/>
    <xf numFmtId="0" fontId="0" fillId="2" borderId="2" xfId="0" applyFill="1" applyBorder="1"/>
    <xf numFmtId="165" fontId="0" fillId="2" borderId="5" xfId="0" applyNumberFormat="1" applyFill="1" applyBorder="1"/>
    <xf numFmtId="3" fontId="0" fillId="2" borderId="8" xfId="0" applyNumberFormat="1" applyFill="1" applyBorder="1"/>
    <xf numFmtId="165" fontId="0" fillId="2" borderId="6" xfId="0" applyNumberFormat="1" applyFill="1" applyBorder="1"/>
    <xf numFmtId="1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[задача 1 ТЗ-2.xlsx]Задача 1 ТЗ-2!Сводная таблица1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Динамика клиентских выплат по типам продукта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'Задача 1 ТЗ-2'!$F$1:$F$2</c:f>
              <c:strCache>
                <c:ptCount val="1"/>
                <c:pt idx="0">
                  <c:v>Аммуниция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'Задача 1 ТЗ-2'!$E$3:$E$15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'Задача 1 ТЗ-2'!$F$3:$F$15</c:f>
              <c:numCache>
                <c:formatCode>General</c:formatCode>
                <c:ptCount val="10"/>
                <c:pt idx="0">
                  <c:v>11500</c:v>
                </c:pt>
                <c:pt idx="1">
                  <c:v>14750</c:v>
                </c:pt>
                <c:pt idx="2">
                  <c:v>18500</c:v>
                </c:pt>
                <c:pt idx="3">
                  <c:v>16250</c:v>
                </c:pt>
                <c:pt idx="4">
                  <c:v>22250</c:v>
                </c:pt>
                <c:pt idx="5">
                  <c:v>11250</c:v>
                </c:pt>
                <c:pt idx="6">
                  <c:v>31000</c:v>
                </c:pt>
                <c:pt idx="7">
                  <c:v>32500</c:v>
                </c:pt>
                <c:pt idx="8">
                  <c:v>49000</c:v>
                </c:pt>
                <c:pt idx="9">
                  <c:v>16750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5DC-AC39-F825A44863C5}"/>
            </c:ext>
          </c:extLst>
        </c:ser>
        <c:ser>
          <c:idx val="1"/>
          <c:order val="1"/>
          <c:tx>
            <c:strRef>
              <c:f>'Задача 1 ТЗ-2'!$G$1:$G$2</c:f>
              <c:strCache>
                <c:ptCount val="1"/>
                <c:pt idx="0">
                  <c:v>Валюта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'Задача 1 ТЗ-2'!$E$3:$E$15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'Задача 1 ТЗ-2'!$G$3:$G$15</c:f>
              <c:numCache>
                <c:formatCode>General</c:formatCode>
                <c:ptCount val="10"/>
                <c:pt idx="0">
                  <c:v>12930</c:v>
                </c:pt>
                <c:pt idx="1">
                  <c:v>39170</c:v>
                </c:pt>
                <c:pt idx="2">
                  <c:v>25580</c:v>
                </c:pt>
                <c:pt idx="3">
                  <c:v>31280</c:v>
                </c:pt>
                <c:pt idx="4">
                  <c:v>24580</c:v>
                </c:pt>
                <c:pt idx="5">
                  <c:v>26730</c:v>
                </c:pt>
                <c:pt idx="6">
                  <c:v>49300</c:v>
                </c:pt>
                <c:pt idx="7">
                  <c:v>45180</c:v>
                </c:pt>
                <c:pt idx="8">
                  <c:v>106440</c:v>
                </c:pt>
                <c:pt idx="9">
                  <c:v>39800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99-45DC-AC39-F825A44863C5}"/>
            </c:ext>
          </c:extLst>
        </c:ser>
        <c:ser>
          <c:idx val="2"/>
          <c:order val="2"/>
          <c:tx>
            <c:strRef>
              <c:f>'Задача 1 ТЗ-2'!$H$1:$H$2</c:f>
              <c:strCache>
                <c:ptCount val="1"/>
                <c:pt idx="0">
                  <c:v>Материалы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'Задача 1 ТЗ-2'!$E$3:$E$15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'Задача 1 ТЗ-2'!$H$3:$H$15</c:f>
              <c:numCache>
                <c:formatCode>General</c:formatCode>
                <c:ptCount val="10"/>
                <c:pt idx="0">
                  <c:v>14700</c:v>
                </c:pt>
                <c:pt idx="1">
                  <c:v>11900</c:v>
                </c:pt>
                <c:pt idx="2">
                  <c:v>21800</c:v>
                </c:pt>
                <c:pt idx="3">
                  <c:v>18800</c:v>
                </c:pt>
                <c:pt idx="4">
                  <c:v>20400</c:v>
                </c:pt>
                <c:pt idx="5">
                  <c:v>18800</c:v>
                </c:pt>
                <c:pt idx="6">
                  <c:v>27000</c:v>
                </c:pt>
                <c:pt idx="7">
                  <c:v>30200</c:v>
                </c:pt>
                <c:pt idx="8">
                  <c:v>46500</c:v>
                </c:pt>
                <c:pt idx="9">
                  <c:v>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5DC-AC39-F825A44863C5}"/>
            </c:ext>
          </c:extLst>
        </c:ser>
        <c:ser>
          <c:idx val="3"/>
          <c:order val="3"/>
          <c:tx>
            <c:strRef>
              <c:f>'Задача 1 ТЗ-2'!$I$1:$I$2</c:f>
              <c:strCache>
                <c:ptCount val="1"/>
                <c:pt idx="0">
                  <c:v>Транспорт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'Задача 1 ТЗ-2'!$E$3:$E$15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'Задача 1 ТЗ-2'!$I$3:$I$15</c:f>
              <c:numCache>
                <c:formatCode>General</c:formatCode>
                <c:ptCount val="10"/>
                <c:pt idx="0">
                  <c:v>9485</c:v>
                </c:pt>
                <c:pt idx="1">
                  <c:v>11681</c:v>
                </c:pt>
                <c:pt idx="2">
                  <c:v>5291</c:v>
                </c:pt>
                <c:pt idx="3">
                  <c:v>9584</c:v>
                </c:pt>
                <c:pt idx="4">
                  <c:v>10782</c:v>
                </c:pt>
                <c:pt idx="5">
                  <c:v>5691</c:v>
                </c:pt>
                <c:pt idx="6">
                  <c:v>15374</c:v>
                </c:pt>
                <c:pt idx="7">
                  <c:v>15374</c:v>
                </c:pt>
                <c:pt idx="8">
                  <c:v>13578</c:v>
                </c:pt>
                <c:pt idx="9">
                  <c:v>10281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99-45DC-AC39-F825A44863C5}"/>
            </c:ext>
          </c:extLst>
        </c:ser>
        <c:ser>
          <c:idx val="4"/>
          <c:order val="4"/>
          <c:tx>
            <c:strRef>
              <c:f>'Задача 1 ТЗ-2'!$J$1:$J$2</c:f>
              <c:strCache>
                <c:ptCount val="1"/>
                <c:pt idx="0">
                  <c:v>Оружие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'Задача 1 ТЗ-2'!$E$3:$E$15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'Задача 1 ТЗ-2'!$J$3:$J$15</c:f>
              <c:numCache>
                <c:formatCode>General</c:formatCode>
                <c:ptCount val="10"/>
                <c:pt idx="0">
                  <c:v>798</c:v>
                </c:pt>
                <c:pt idx="1">
                  <c:v>1270</c:v>
                </c:pt>
                <c:pt idx="2">
                  <c:v>2039</c:v>
                </c:pt>
                <c:pt idx="3">
                  <c:v>599</c:v>
                </c:pt>
                <c:pt idx="4">
                  <c:v>1807</c:v>
                </c:pt>
                <c:pt idx="5">
                  <c:v>609</c:v>
                </c:pt>
                <c:pt idx="6">
                  <c:v>4064</c:v>
                </c:pt>
                <c:pt idx="7">
                  <c:v>1258</c:v>
                </c:pt>
                <c:pt idx="8">
                  <c:v>3670</c:v>
                </c:pt>
                <c:pt idx="9">
                  <c:v>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99-45DC-AC39-F825A4486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2616512"/>
        <c:axId val="1002617760"/>
      </c:lineChart>
      <c:catAx>
        <c:axId val="100261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617760"/>
        <c:crosses val="autoZero"/>
        <c:auto val="1"/>
        <c:lblAlgn val="ctr"/>
        <c:lblOffset val="100"/>
        <c:noMultiLvlLbl val="0"/>
      </c:catAx>
      <c:valAx>
        <c:axId val="1002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</a:t>
                </a:r>
                <a:r>
                  <a:rPr lang="ru-RU" baseline="0"/>
                  <a:t> клиентские выплаты</a:t>
                </a:r>
                <a:endParaRPr lang="en-US" baseline="0"/>
              </a:p>
              <a:p>
                <a:pPr>
                  <a:defRPr/>
                </a:pPr>
                <a:endParaRPr lang="ru-RU"/>
              </a:p>
            </c:rich>
          </c:tx>
          <c:layout>
            <c:manualLayout>
              <c:xMode val="edge"/>
              <c:yMode val="edge"/>
              <c:x val="2.3731288791529755E-2"/>
              <c:y val="0.41178224324583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61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Динамика среднего количества </a:t>
            </a:r>
          </a:p>
          <a:p>
            <a:pPr>
              <a:defRPr sz="1600" b="1"/>
            </a:pPr>
            <a:r>
              <a:rPr lang="ru-RU" sz="1600" b="1"/>
              <a:t>приобретаемых кристаллов на 1 покупку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'Задача 2 ТЗ-2'!$B$1</c:f>
              <c:strCache>
                <c:ptCount val="1"/>
                <c:pt idx="0">
                  <c:v>Среднее кол-во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'Задача 2 ТЗ-2'!$A$2:$A$11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'Задача 2 ТЗ-2'!$B$2:$B$11</c:f>
              <c:numCache>
                <c:formatCode>General</c:formatCode>
                <c:ptCount val="10"/>
                <c:pt idx="0">
                  <c:v>29</c:v>
                </c:pt>
                <c:pt idx="1">
                  <c:v>31.56</c:v>
                </c:pt>
                <c:pt idx="2">
                  <c:v>32.17</c:v>
                </c:pt>
                <c:pt idx="3">
                  <c:v>28</c:v>
                </c:pt>
                <c:pt idx="4">
                  <c:v>29.6</c:v>
                </c:pt>
                <c:pt idx="5">
                  <c:v>30</c:v>
                </c:pt>
                <c:pt idx="6">
                  <c:v>19.12</c:v>
                </c:pt>
                <c:pt idx="7">
                  <c:v>17.350000000000001</c:v>
                </c:pt>
                <c:pt idx="8">
                  <c:v>22.05</c:v>
                </c:pt>
                <c:pt idx="9">
                  <c:v>23.08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B-4567-9CFC-85711C9C4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624416"/>
        <c:axId val="1002624832"/>
      </c:lineChart>
      <c:lineChart>
        <c:grouping val="standard"/>
        <c:varyColors val="0"/>
        <c:ser>
          <c:idx val="1"/>
          <c:order val="1"/>
          <c:tx>
            <c:strRef>
              <c:f>'Задача 2 ТЗ-2'!$C$1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'Задача 2 ТЗ-2'!$A$2:$A$11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'Задача 2 ТЗ-2'!$C$2:$C$11</c:f>
              <c:numCache>
                <c:formatCode>#,##0</c:formatCode>
                <c:ptCount val="10"/>
                <c:pt idx="0">
                  <c:v>4930</c:v>
                </c:pt>
                <c:pt idx="1">
                  <c:v>17170</c:v>
                </c:pt>
                <c:pt idx="2">
                  <c:v>12580</c:v>
                </c:pt>
                <c:pt idx="3">
                  <c:v>14280</c:v>
                </c:pt>
                <c:pt idx="4">
                  <c:v>12580</c:v>
                </c:pt>
                <c:pt idx="5">
                  <c:v>11730</c:v>
                </c:pt>
                <c:pt idx="6">
                  <c:v>14300</c:v>
                </c:pt>
                <c:pt idx="7">
                  <c:v>12980</c:v>
                </c:pt>
                <c:pt idx="8">
                  <c:v>37840</c:v>
                </c:pt>
                <c:pt idx="9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B-4567-9CFC-85711C9C4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25808"/>
        <c:axId val="1165929968"/>
      </c:lineChart>
      <c:dateAx>
        <c:axId val="1002624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624832"/>
        <c:crosses val="autoZero"/>
        <c:auto val="1"/>
        <c:lblOffset val="100"/>
        <c:baseTimeUnit val="months"/>
      </c:dateAx>
      <c:valAx>
        <c:axId val="10026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624416"/>
        <c:crosses val="autoZero"/>
        <c:crossBetween val="between"/>
      </c:valAx>
      <c:valAx>
        <c:axId val="116592996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5925808"/>
        <c:crosses val="max"/>
        <c:crossBetween val="between"/>
      </c:valAx>
      <c:dateAx>
        <c:axId val="11659258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59299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Динамика</a:t>
            </a:r>
            <a:r>
              <a:rPr lang="ru-RU" sz="1600" b="1" baseline="0"/>
              <a:t> средний платежей по когортам</a:t>
            </a:r>
            <a:endParaRPr lang="ru-RU" sz="1600" b="1"/>
          </a:p>
        </c:rich>
      </c:tx>
      <c:layout>
        <c:manualLayout>
          <c:xMode val="edge"/>
          <c:yMode val="edge"/>
          <c:x val="0.21751059493581931"/>
          <c:y val="4.7255543438749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'Задача 3 ТЗ-2'!$D$1</c:f>
              <c:strCache>
                <c:ptCount val="1"/>
                <c:pt idx="0">
                  <c:v>Средняя выручка за весь период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'Задача 3 ТЗ-2'!$A$2:$A$10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'Задача 3 ТЗ-2'!$D$2:$D$10</c:f>
              <c:numCache>
                <c:formatCode>#\ ##0.##</c:formatCode>
                <c:ptCount val="9"/>
                <c:pt idx="0">
                  <c:v>1185.4647887323943</c:v>
                </c:pt>
                <c:pt idx="1">
                  <c:v>855.34210526315792</c:v>
                </c:pt>
                <c:pt idx="2">
                  <c:v>1052.5853658536585</c:v>
                </c:pt>
                <c:pt idx="3">
                  <c:v>929.24137931034488</c:v>
                </c:pt>
                <c:pt idx="4">
                  <c:v>1048.2987012987012</c:v>
                </c:pt>
                <c:pt idx="5">
                  <c:v>992.25301204819277</c:v>
                </c:pt>
                <c:pt idx="6">
                  <c:v>1021.2598425196851</c:v>
                </c:pt>
                <c:pt idx="7">
                  <c:v>1155.2177419354839</c:v>
                </c:pt>
                <c:pt idx="8">
                  <c:v>1087.4320388349515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9-42D4-A4DF-8EBB644C9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887536"/>
        <c:axId val="1165882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'Задача 3 ТЗ-2'!$B$1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'Задача 3 ТЗ-2'!$A$2:$A$10</c15:sqref>
                        </c15:formulaRef>
                      </c:ext>
                    </c:extLst>
                    <c:numCache>
                      <c:formatCode>m/d/yyyy</c:formatCode>
                      <c:ptCount val="9"/>
                      <c:pt idx="0">
                        <c:v>44743</c:v>
                      </c:pt>
                      <c:pt idx="1">
                        <c:v>44774</c:v>
                      </c:pt>
                      <c:pt idx="2">
                        <c:v>44805</c:v>
                      </c:pt>
                      <c:pt idx="3">
                        <c:v>44835</c:v>
                      </c:pt>
                      <c:pt idx="4">
                        <c:v>44866</c:v>
                      </c:pt>
                      <c:pt idx="5">
                        <c:v>44896</c:v>
                      </c:pt>
                      <c:pt idx="6">
                        <c:v>44927</c:v>
                      </c:pt>
                      <c:pt idx="7">
                        <c:v>44958</c:v>
                      </c:pt>
                      <c:pt idx="8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'Задача 3 ТЗ-2'!$B$2:$B$10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84168</c:v>
                      </c:pt>
                      <c:pt idx="1">
                        <c:v>65006</c:v>
                      </c:pt>
                      <c:pt idx="2">
                        <c:v>86312</c:v>
                      </c:pt>
                      <c:pt idx="3">
                        <c:v>80844</c:v>
                      </c:pt>
                      <c:pt idx="4">
                        <c:v>80719</c:v>
                      </c:pt>
                      <c:pt idx="5">
                        <c:v>82357</c:v>
                      </c:pt>
                      <c:pt idx="6">
                        <c:v>129700</c:v>
                      </c:pt>
                      <c:pt idx="7">
                        <c:v>143247</c:v>
                      </c:pt>
                      <c:pt idx="8">
                        <c:v>224011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549-42D4-A4DF-8EBB644C955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'Задача 3 ТЗ-2'!$C$1</c15:sqref>
                        </c15:formulaRef>
                      </c:ext>
                    </c:extLst>
                    <c:strCache>
                      <c:ptCount val="1"/>
                      <c:pt idx="0">
                        <c:v>cnt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'Задача 3 ТЗ-2'!$A$2:$A$10</c15:sqref>
                        </c15:formulaRef>
                      </c:ext>
                    </c:extLst>
                    <c:numCache>
                      <c:formatCode>m/d/yyyy</c:formatCode>
                      <c:ptCount val="9"/>
                      <c:pt idx="0">
                        <c:v>44743</c:v>
                      </c:pt>
                      <c:pt idx="1">
                        <c:v>44774</c:v>
                      </c:pt>
                      <c:pt idx="2">
                        <c:v>44805</c:v>
                      </c:pt>
                      <c:pt idx="3">
                        <c:v>44835</c:v>
                      </c:pt>
                      <c:pt idx="4">
                        <c:v>44866</c:v>
                      </c:pt>
                      <c:pt idx="5">
                        <c:v>44896</c:v>
                      </c:pt>
                      <c:pt idx="6">
                        <c:v>44927</c:v>
                      </c:pt>
                      <c:pt idx="7">
                        <c:v>44958</c:v>
                      </c:pt>
                      <c:pt idx="8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'Задача 3 ТЗ-2'!$C$2:$C$10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71</c:v>
                      </c:pt>
                      <c:pt idx="1">
                        <c:v>76</c:v>
                      </c:pt>
                      <c:pt idx="2">
                        <c:v>82</c:v>
                      </c:pt>
                      <c:pt idx="3">
                        <c:v>87</c:v>
                      </c:pt>
                      <c:pt idx="4">
                        <c:v>77</c:v>
                      </c:pt>
                      <c:pt idx="5">
                        <c:v>83</c:v>
                      </c:pt>
                      <c:pt idx="6">
                        <c:v>127</c:v>
                      </c:pt>
                      <c:pt idx="7">
                        <c:v>124</c:v>
                      </c:pt>
                      <c:pt idx="8">
                        <c:v>206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549-42D4-A4DF-8EBB644C95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'Задача 3 ТЗ-2'!$E$1</c15:sqref>
                        </c15:formulaRef>
                      </c:ext>
                    </c:extLst>
                    <c:strCache>
                      <c:ptCount val="1"/>
                      <c:pt idx="0">
                        <c:v>interv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'Задача 3 ТЗ-2'!$A$2:$A$10</c15:sqref>
                        </c15:formulaRef>
                      </c:ext>
                    </c:extLst>
                    <c:numCache>
                      <c:formatCode>m/d/yyyy</c:formatCode>
                      <c:ptCount val="9"/>
                      <c:pt idx="0">
                        <c:v>44743</c:v>
                      </c:pt>
                      <c:pt idx="1">
                        <c:v>44774</c:v>
                      </c:pt>
                      <c:pt idx="2">
                        <c:v>44805</c:v>
                      </c:pt>
                      <c:pt idx="3">
                        <c:v>44835</c:v>
                      </c:pt>
                      <c:pt idx="4">
                        <c:v>44866</c:v>
                      </c:pt>
                      <c:pt idx="5">
                        <c:v>44896</c:v>
                      </c:pt>
                      <c:pt idx="6">
                        <c:v>44927</c:v>
                      </c:pt>
                      <c:pt idx="7">
                        <c:v>44958</c:v>
                      </c:pt>
                      <c:pt idx="8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'Задача 3 ТЗ-2'!$E$2:$E$10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 formatCode="#\ ##0.##">
                        <c:v>10.033333333333333</c:v>
                      </c:pt>
                      <c:pt idx="1">
                        <c:v>9</c:v>
                      </c:pt>
                      <c:pt idx="2" formatCode="#\ ##0.##">
                        <c:v>7.9666666666666668</c:v>
                      </c:pt>
                      <c:pt idx="3" formatCode="#\ ##0.##">
                        <c:v>6.9666666666666668</c:v>
                      </c:pt>
                      <c:pt idx="4" formatCode="#\ ##0.##">
                        <c:v>5.9333333333333336</c:v>
                      </c:pt>
                      <c:pt idx="5" formatCode="#\ ##0.##">
                        <c:v>4.9333333333333336</c:v>
                      </c:pt>
                      <c:pt idx="6" formatCode="#\ ##0.##">
                        <c:v>3.9</c:v>
                      </c:pt>
                      <c:pt idx="7" formatCode="#\ ##0.##">
                        <c:v>2.8666666666666667</c:v>
                      </c:pt>
                      <c:pt idx="8" formatCode="#\ ##0.##">
                        <c:v>1.9333333333333333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549-42D4-A4DF-8EBB644C955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'Задача 3 ТЗ-2'!$F$1</c:f>
              <c:strCache>
                <c:ptCount val="1"/>
                <c:pt idx="0">
                  <c:v>Средняя выручка за месяц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'Задача 3 ТЗ-2'!$A$2:$A$10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'Задача 3 ТЗ-2'!$F$2:$F$10</c:f>
              <c:numCache>
                <c:formatCode>#\ ##0.##</c:formatCode>
                <c:ptCount val="9"/>
                <c:pt idx="0">
                  <c:v>118.15263675073697</c:v>
                </c:pt>
                <c:pt idx="1">
                  <c:v>95.038011695906434</c:v>
                </c:pt>
                <c:pt idx="2">
                  <c:v>132.12368609041738</c:v>
                </c:pt>
                <c:pt idx="3">
                  <c:v>133.3839300445471</c:v>
                </c:pt>
                <c:pt idx="4">
                  <c:v>176.67955639865752</c:v>
                </c:pt>
                <c:pt idx="5">
                  <c:v>201.13236730706609</c:v>
                </c:pt>
                <c:pt idx="6">
                  <c:v>261.86149808197052</c:v>
                </c:pt>
                <c:pt idx="7">
                  <c:v>402.9829332333083</c:v>
                </c:pt>
                <c:pt idx="8">
                  <c:v>562.4648476732508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49-42D4-A4DF-8EBB644C9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885456"/>
        <c:axId val="1165889616"/>
      </c:lineChart>
      <c:dateAx>
        <c:axId val="1165887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5882960"/>
        <c:crosses val="autoZero"/>
        <c:auto val="1"/>
        <c:lblOffset val="100"/>
        <c:baseTimeUnit val="months"/>
      </c:dateAx>
      <c:valAx>
        <c:axId val="11658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5887536"/>
        <c:crosses val="autoZero"/>
        <c:crossBetween val="between"/>
      </c:valAx>
      <c:valAx>
        <c:axId val="1165889616"/>
        <c:scaling>
          <c:orientation val="minMax"/>
        </c:scaling>
        <c:delete val="0"/>
        <c:axPos val="r"/>
        <c:numFmt formatCode="#\ ##0.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5885456"/>
        <c:crosses val="max"/>
        <c:crossBetween val="between"/>
      </c:valAx>
      <c:dateAx>
        <c:axId val="11658854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588961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16</xdr:row>
      <xdr:rowOff>87630</xdr:rowOff>
    </xdr:from>
    <xdr:to>
      <xdr:col>12</xdr:col>
      <xdr:colOff>320040</xdr:colOff>
      <xdr:row>38</xdr:row>
      <xdr:rowOff>129540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875792-0C53-4C92-891F-1251AE1C8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137160</xdr:rowOff>
    </xdr:from>
    <xdr:to>
      <xdr:col>16</xdr:col>
      <xdr:colOff>160020</xdr:colOff>
      <xdr:row>24</xdr:row>
      <xdr:rowOff>49530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BD8954A-4177-4EC8-80D7-C0C877852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1</xdr:row>
      <xdr:rowOff>7620</xdr:rowOff>
    </xdr:from>
    <xdr:to>
      <xdr:col>17</xdr:col>
      <xdr:colOff>411480</xdr:colOff>
      <xdr:row>23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5B013F-C3EB-4046-ACDD-2F7B117F6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gulya1" refreshedDate="46173.832495486109" createdVersion="7" refreshedVersion="7" minRefreshableVersion="3" recordCount="50" xr:uid="{A53BE092-0083-4FB2-9191-60EE16C8D009}">
  <cacheSource type="worksheet">
    <worksheetSource ref="A1:C51" sheet="Задача 1 ТЗ-2"/>
  </cacheSource>
  <cacheFields count="5">
    <cacheField name="mm" numFmtId="164">
      <sharedItems containsSemiMixedTypes="0" containsNonDate="0" containsDate="1" containsString="0" minDate="2022-07-01T00:00:00" maxDate="2023-04-02T00:00:00" count="10"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</sharedItems>
      <fieldGroup par="4" base="0">
        <rangePr groupBy="months" startDate="2022-07-01T00:00:00" endDate="2023-04-02T00:00:00"/>
        <groupItems count="14">
          <s v="&lt;01.07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3"/>
        </groupItems>
      </fieldGroup>
    </cacheField>
    <cacheField name="type" numFmtId="0">
      <sharedItems count="5">
        <s v="Ammo"/>
        <s v="Currency"/>
        <s v="Materials"/>
        <s v="Transport"/>
        <s v="Weapon"/>
      </sharedItems>
    </cacheField>
    <cacheField name="revenue" numFmtId="3">
      <sharedItems containsSemiMixedTypes="0" containsString="0" containsNumber="1" containsInteger="1" minValue="599" maxValue="106440"/>
    </cacheField>
    <cacheField name="Кварталы" numFmtId="0" databaseField="0">
      <fieldGroup base="0">
        <rangePr groupBy="quarters" startDate="2022-07-01T00:00:00" endDate="2023-04-02T00:00:00"/>
        <groupItems count="6">
          <s v="&lt;01.07.2022"/>
          <s v="Кв-л1"/>
          <s v="Кв-л2"/>
          <s v="Кв-л3"/>
          <s v="Кв-л4"/>
          <s v="&gt;02.04.2023"/>
        </groupItems>
      </fieldGroup>
    </cacheField>
    <cacheField name="Годы" numFmtId="0" databaseField="0">
      <fieldGroup base="0">
        <rangePr groupBy="years" startDate="2022-07-01T00:00:00" endDate="2023-04-02T00:00:00"/>
        <groupItems count="4">
          <s v="&lt;01.07.2022"/>
          <s v="2022"/>
          <s v="2023"/>
          <s v="&gt;02.04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1500"/>
  </r>
  <r>
    <x v="1"/>
    <x v="0"/>
    <n v="14750"/>
  </r>
  <r>
    <x v="2"/>
    <x v="0"/>
    <n v="18500"/>
  </r>
  <r>
    <x v="3"/>
    <x v="0"/>
    <n v="16250"/>
  </r>
  <r>
    <x v="4"/>
    <x v="0"/>
    <n v="22250"/>
  </r>
  <r>
    <x v="5"/>
    <x v="0"/>
    <n v="11250"/>
  </r>
  <r>
    <x v="6"/>
    <x v="0"/>
    <n v="31000"/>
  </r>
  <r>
    <x v="7"/>
    <x v="0"/>
    <n v="32500"/>
  </r>
  <r>
    <x v="8"/>
    <x v="0"/>
    <n v="49000"/>
  </r>
  <r>
    <x v="9"/>
    <x v="0"/>
    <n v="16750"/>
  </r>
  <r>
    <x v="0"/>
    <x v="1"/>
    <n v="12930"/>
  </r>
  <r>
    <x v="1"/>
    <x v="1"/>
    <n v="39170"/>
  </r>
  <r>
    <x v="2"/>
    <x v="1"/>
    <n v="25580"/>
  </r>
  <r>
    <x v="3"/>
    <x v="1"/>
    <n v="31280"/>
  </r>
  <r>
    <x v="4"/>
    <x v="1"/>
    <n v="24580"/>
  </r>
  <r>
    <x v="5"/>
    <x v="1"/>
    <n v="26730"/>
  </r>
  <r>
    <x v="6"/>
    <x v="1"/>
    <n v="49300"/>
  </r>
  <r>
    <x v="7"/>
    <x v="1"/>
    <n v="45180"/>
  </r>
  <r>
    <x v="8"/>
    <x v="1"/>
    <n v="106440"/>
  </r>
  <r>
    <x v="9"/>
    <x v="1"/>
    <n v="39800"/>
  </r>
  <r>
    <x v="0"/>
    <x v="2"/>
    <n v="14700"/>
  </r>
  <r>
    <x v="1"/>
    <x v="2"/>
    <n v="11900"/>
  </r>
  <r>
    <x v="2"/>
    <x v="2"/>
    <n v="21800"/>
  </r>
  <r>
    <x v="3"/>
    <x v="2"/>
    <n v="18800"/>
  </r>
  <r>
    <x v="4"/>
    <x v="2"/>
    <n v="20400"/>
  </r>
  <r>
    <x v="5"/>
    <x v="2"/>
    <n v="18800"/>
  </r>
  <r>
    <x v="6"/>
    <x v="2"/>
    <n v="27000"/>
  </r>
  <r>
    <x v="7"/>
    <x v="2"/>
    <n v="30200"/>
  </r>
  <r>
    <x v="8"/>
    <x v="2"/>
    <n v="46500"/>
  </r>
  <r>
    <x v="9"/>
    <x v="2"/>
    <n v="26500"/>
  </r>
  <r>
    <x v="0"/>
    <x v="3"/>
    <n v="9485"/>
  </r>
  <r>
    <x v="1"/>
    <x v="3"/>
    <n v="11681"/>
  </r>
  <r>
    <x v="2"/>
    <x v="3"/>
    <n v="5291"/>
  </r>
  <r>
    <x v="3"/>
    <x v="3"/>
    <n v="9584"/>
  </r>
  <r>
    <x v="4"/>
    <x v="3"/>
    <n v="10782"/>
  </r>
  <r>
    <x v="5"/>
    <x v="3"/>
    <n v="5691"/>
  </r>
  <r>
    <x v="6"/>
    <x v="3"/>
    <n v="15374"/>
  </r>
  <r>
    <x v="7"/>
    <x v="3"/>
    <n v="15374"/>
  </r>
  <r>
    <x v="8"/>
    <x v="3"/>
    <n v="13578"/>
  </r>
  <r>
    <x v="9"/>
    <x v="3"/>
    <n v="10281"/>
  </r>
  <r>
    <x v="0"/>
    <x v="4"/>
    <n v="798"/>
  </r>
  <r>
    <x v="1"/>
    <x v="4"/>
    <n v="1270"/>
  </r>
  <r>
    <x v="2"/>
    <x v="4"/>
    <n v="2039"/>
  </r>
  <r>
    <x v="3"/>
    <x v="4"/>
    <n v="599"/>
  </r>
  <r>
    <x v="4"/>
    <x v="4"/>
    <n v="1807"/>
  </r>
  <r>
    <x v="5"/>
    <x v="4"/>
    <n v="609"/>
  </r>
  <r>
    <x v="6"/>
    <x v="4"/>
    <n v="4064"/>
  </r>
  <r>
    <x v="7"/>
    <x v="4"/>
    <n v="1258"/>
  </r>
  <r>
    <x v="8"/>
    <x v="4"/>
    <n v="3670"/>
  </r>
  <r>
    <x v="9"/>
    <x v="4"/>
    <n v="1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2182-3490-4B4A-9FF8-E6E2427FE5B1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2">
  <location ref="E1:K15" firstHeaderRow="1" firstDataRow="2" firstDataCol="1"/>
  <pivotFields count="5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n="Аммуниция" x="0"/>
        <item n="Валюта" x="1"/>
        <item n="Материалы" x="2"/>
        <item n="Транспорт" x="3"/>
        <item n="Оружие" x="4"/>
        <item t="default"/>
      </items>
    </pivotField>
    <pivotField dataField="1" numFmtId="3"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4"/>
    <field x="0"/>
  </rowFields>
  <rowItems count="13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revenue" fld="2" baseField="0" baseItem="0"/>
  </dataField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pane ySplit="1" topLeftCell="A20" activePane="bottomLeft" state="frozen"/>
      <selection pane="bottomLeft" activeCell="H3" sqref="H3"/>
    </sheetView>
  </sheetViews>
  <sheetFormatPr defaultRowHeight="14.4" x14ac:dyDescent="0.3"/>
  <cols>
    <col min="1" max="1" width="28.88671875" customWidth="1"/>
    <col min="2" max="2" width="13" customWidth="1"/>
    <col min="3" max="3" width="11.6640625" customWidth="1"/>
    <col min="5" max="5" width="22.5546875" bestFit="1" customWidth="1"/>
    <col min="6" max="6" width="20.33203125" bestFit="1" customWidth="1"/>
    <col min="7" max="7" width="8.5546875" bestFit="1" customWidth="1"/>
    <col min="8" max="8" width="8.77734375" bestFit="1" customWidth="1"/>
    <col min="9" max="9" width="9.109375" bestFit="1" customWidth="1"/>
    <col min="10" max="10" width="8.109375" bestFit="1" customWidth="1"/>
    <col min="11" max="11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E1" s="3" t="s">
        <v>23</v>
      </c>
      <c r="F1" s="3" t="s">
        <v>22</v>
      </c>
    </row>
    <row r="2" spans="1:11" x14ac:dyDescent="0.3">
      <c r="A2" s="2">
        <v>44743</v>
      </c>
      <c r="B2" t="s">
        <v>3</v>
      </c>
      <c r="C2" s="1">
        <v>11500</v>
      </c>
      <c r="E2" s="3" t="s">
        <v>8</v>
      </c>
      <c r="F2" t="s">
        <v>66</v>
      </c>
      <c r="G2" t="s">
        <v>65</v>
      </c>
      <c r="H2" t="s">
        <v>69</v>
      </c>
      <c r="I2" t="s">
        <v>67</v>
      </c>
      <c r="J2" t="s">
        <v>68</v>
      </c>
      <c r="K2" t="s">
        <v>9</v>
      </c>
    </row>
    <row r="3" spans="1:11" x14ac:dyDescent="0.3">
      <c r="A3" s="2">
        <v>44774</v>
      </c>
      <c r="B3" t="s">
        <v>3</v>
      </c>
      <c r="C3" s="1">
        <v>14750</v>
      </c>
      <c r="E3" s="4" t="s">
        <v>10</v>
      </c>
      <c r="F3" s="5">
        <v>94500</v>
      </c>
      <c r="G3" s="5">
        <v>160270</v>
      </c>
      <c r="H3" s="5">
        <v>106400</v>
      </c>
      <c r="I3" s="5">
        <v>52514</v>
      </c>
      <c r="J3" s="5">
        <v>7122</v>
      </c>
      <c r="K3" s="5">
        <v>420806</v>
      </c>
    </row>
    <row r="4" spans="1:11" x14ac:dyDescent="0.3">
      <c r="A4" s="2">
        <v>44805</v>
      </c>
      <c r="B4" t="s">
        <v>3</v>
      </c>
      <c r="C4" s="1">
        <v>18500</v>
      </c>
      <c r="E4" s="6" t="s">
        <v>11</v>
      </c>
      <c r="F4" s="5">
        <v>11500</v>
      </c>
      <c r="G4" s="5">
        <v>12930</v>
      </c>
      <c r="H4" s="5">
        <v>14700</v>
      </c>
      <c r="I4" s="5">
        <v>9485</v>
      </c>
      <c r="J4" s="5">
        <v>798</v>
      </c>
      <c r="K4" s="5">
        <v>49413</v>
      </c>
    </row>
    <row r="5" spans="1:11" x14ac:dyDescent="0.3">
      <c r="A5" s="2">
        <v>44835</v>
      </c>
      <c r="B5" t="s">
        <v>3</v>
      </c>
      <c r="C5" s="1">
        <v>16250</v>
      </c>
      <c r="E5" s="6" t="s">
        <v>12</v>
      </c>
      <c r="F5" s="5">
        <v>14750</v>
      </c>
      <c r="G5" s="5">
        <v>39170</v>
      </c>
      <c r="H5" s="5">
        <v>11900</v>
      </c>
      <c r="I5" s="5">
        <v>11681</v>
      </c>
      <c r="J5" s="5">
        <v>1270</v>
      </c>
      <c r="K5" s="5">
        <v>78771</v>
      </c>
    </row>
    <row r="6" spans="1:11" x14ac:dyDescent="0.3">
      <c r="A6" s="2">
        <v>44866</v>
      </c>
      <c r="B6" t="s">
        <v>3</v>
      </c>
      <c r="C6" s="1">
        <v>22250</v>
      </c>
      <c r="E6" s="6" t="s">
        <v>13</v>
      </c>
      <c r="F6" s="5">
        <v>18500</v>
      </c>
      <c r="G6" s="5">
        <v>25580</v>
      </c>
      <c r="H6" s="5">
        <v>21800</v>
      </c>
      <c r="I6" s="5">
        <v>5291</v>
      </c>
      <c r="J6" s="5">
        <v>2039</v>
      </c>
      <c r="K6" s="5">
        <v>73210</v>
      </c>
    </row>
    <row r="7" spans="1:11" x14ac:dyDescent="0.3">
      <c r="A7" s="2">
        <v>44896</v>
      </c>
      <c r="B7" t="s">
        <v>3</v>
      </c>
      <c r="C7" s="1">
        <v>11250</v>
      </c>
      <c r="E7" s="6" t="s">
        <v>14</v>
      </c>
      <c r="F7" s="5">
        <v>16250</v>
      </c>
      <c r="G7" s="5">
        <v>31280</v>
      </c>
      <c r="H7" s="5">
        <v>18800</v>
      </c>
      <c r="I7" s="5">
        <v>9584</v>
      </c>
      <c r="J7" s="5">
        <v>599</v>
      </c>
      <c r="K7" s="5">
        <v>76513</v>
      </c>
    </row>
    <row r="8" spans="1:11" x14ac:dyDescent="0.3">
      <c r="A8" s="2">
        <v>44927</v>
      </c>
      <c r="B8" t="s">
        <v>3</v>
      </c>
      <c r="C8" s="1">
        <v>31000</v>
      </c>
      <c r="E8" s="6" t="s">
        <v>15</v>
      </c>
      <c r="F8" s="5">
        <v>22250</v>
      </c>
      <c r="G8" s="5">
        <v>24580</v>
      </c>
      <c r="H8" s="5">
        <v>20400</v>
      </c>
      <c r="I8" s="5">
        <v>10782</v>
      </c>
      <c r="J8" s="5">
        <v>1807</v>
      </c>
      <c r="K8" s="5">
        <v>79819</v>
      </c>
    </row>
    <row r="9" spans="1:11" x14ac:dyDescent="0.3">
      <c r="A9" s="2">
        <v>44958</v>
      </c>
      <c r="B9" t="s">
        <v>3</v>
      </c>
      <c r="C9" s="1">
        <v>32500</v>
      </c>
      <c r="E9" s="6" t="s">
        <v>16</v>
      </c>
      <c r="F9" s="5">
        <v>11250</v>
      </c>
      <c r="G9" s="5">
        <v>26730</v>
      </c>
      <c r="H9" s="5">
        <v>18800</v>
      </c>
      <c r="I9" s="5">
        <v>5691</v>
      </c>
      <c r="J9" s="5">
        <v>609</v>
      </c>
      <c r="K9" s="5">
        <v>63080</v>
      </c>
    </row>
    <row r="10" spans="1:11" x14ac:dyDescent="0.3">
      <c r="A10" s="2">
        <v>44986</v>
      </c>
      <c r="B10" t="s">
        <v>3</v>
      </c>
      <c r="C10" s="1">
        <v>49000</v>
      </c>
      <c r="E10" s="4" t="s">
        <v>17</v>
      </c>
      <c r="F10" s="5">
        <v>129250</v>
      </c>
      <c r="G10" s="5">
        <v>240720</v>
      </c>
      <c r="H10" s="5">
        <v>130200</v>
      </c>
      <c r="I10" s="5">
        <v>54607</v>
      </c>
      <c r="J10" s="5">
        <v>10661</v>
      </c>
      <c r="K10" s="5">
        <v>565438</v>
      </c>
    </row>
    <row r="11" spans="1:11" x14ac:dyDescent="0.3">
      <c r="A11" s="2">
        <v>45017</v>
      </c>
      <c r="B11" t="s">
        <v>3</v>
      </c>
      <c r="C11" s="1">
        <v>16750</v>
      </c>
      <c r="E11" s="6" t="s">
        <v>18</v>
      </c>
      <c r="F11" s="5">
        <v>31000</v>
      </c>
      <c r="G11" s="5">
        <v>49300</v>
      </c>
      <c r="H11" s="5">
        <v>27000</v>
      </c>
      <c r="I11" s="5">
        <v>15374</v>
      </c>
      <c r="J11" s="5">
        <v>4064</v>
      </c>
      <c r="K11" s="5">
        <v>126738</v>
      </c>
    </row>
    <row r="12" spans="1:11" x14ac:dyDescent="0.3">
      <c r="A12" s="2">
        <v>44743</v>
      </c>
      <c r="B12" t="s">
        <v>4</v>
      </c>
      <c r="C12" s="1">
        <v>12930</v>
      </c>
      <c r="E12" s="6" t="s">
        <v>19</v>
      </c>
      <c r="F12" s="5">
        <v>32500</v>
      </c>
      <c r="G12" s="5">
        <v>45180</v>
      </c>
      <c r="H12" s="5">
        <v>30200</v>
      </c>
      <c r="I12" s="5">
        <v>15374</v>
      </c>
      <c r="J12" s="5">
        <v>1258</v>
      </c>
      <c r="K12" s="5">
        <v>124512</v>
      </c>
    </row>
    <row r="13" spans="1:11" x14ac:dyDescent="0.3">
      <c r="A13" s="2">
        <v>44774</v>
      </c>
      <c r="B13" t="s">
        <v>4</v>
      </c>
      <c r="C13" s="1">
        <v>39170</v>
      </c>
      <c r="E13" s="6" t="s">
        <v>20</v>
      </c>
      <c r="F13" s="5">
        <v>49000</v>
      </c>
      <c r="G13" s="5">
        <v>106440</v>
      </c>
      <c r="H13" s="5">
        <v>46500</v>
      </c>
      <c r="I13" s="5">
        <v>13578</v>
      </c>
      <c r="J13" s="5">
        <v>3670</v>
      </c>
      <c r="K13" s="5">
        <v>219188</v>
      </c>
    </row>
    <row r="14" spans="1:11" x14ac:dyDescent="0.3">
      <c r="A14" s="2">
        <v>44805</v>
      </c>
      <c r="B14" t="s">
        <v>4</v>
      </c>
      <c r="C14" s="1">
        <v>25580</v>
      </c>
      <c r="E14" s="6" t="s">
        <v>21</v>
      </c>
      <c r="F14" s="5">
        <v>16750</v>
      </c>
      <c r="G14" s="5">
        <v>39800</v>
      </c>
      <c r="H14" s="5">
        <v>26500</v>
      </c>
      <c r="I14" s="5">
        <v>10281</v>
      </c>
      <c r="J14" s="5">
        <v>1669</v>
      </c>
      <c r="K14" s="5">
        <v>95000</v>
      </c>
    </row>
    <row r="15" spans="1:11" x14ac:dyDescent="0.3">
      <c r="A15" s="2">
        <v>44835</v>
      </c>
      <c r="B15" t="s">
        <v>4</v>
      </c>
      <c r="C15" s="1">
        <v>31280</v>
      </c>
      <c r="E15" s="4" t="s">
        <v>9</v>
      </c>
      <c r="F15" s="5">
        <v>223750</v>
      </c>
      <c r="G15" s="5">
        <v>400990</v>
      </c>
      <c r="H15" s="5">
        <v>236600</v>
      </c>
      <c r="I15" s="5">
        <v>107121</v>
      </c>
      <c r="J15" s="5">
        <v>17783</v>
      </c>
      <c r="K15" s="5">
        <v>986244</v>
      </c>
    </row>
    <row r="16" spans="1:11" x14ac:dyDescent="0.3">
      <c r="A16" s="2">
        <v>44866</v>
      </c>
      <c r="B16" t="s">
        <v>4</v>
      </c>
      <c r="C16" s="1">
        <v>24580</v>
      </c>
    </row>
    <row r="17" spans="1:3" x14ac:dyDescent="0.3">
      <c r="A17" s="2">
        <v>44896</v>
      </c>
      <c r="B17" t="s">
        <v>4</v>
      </c>
      <c r="C17" s="1">
        <v>26730</v>
      </c>
    </row>
    <row r="18" spans="1:3" x14ac:dyDescent="0.3">
      <c r="A18" s="2">
        <v>44927</v>
      </c>
      <c r="B18" t="s">
        <v>4</v>
      </c>
      <c r="C18" s="1">
        <v>49300</v>
      </c>
    </row>
    <row r="19" spans="1:3" x14ac:dyDescent="0.3">
      <c r="A19" s="2">
        <v>44958</v>
      </c>
      <c r="B19" t="s">
        <v>4</v>
      </c>
      <c r="C19" s="1">
        <v>45180</v>
      </c>
    </row>
    <row r="20" spans="1:3" x14ac:dyDescent="0.3">
      <c r="A20" s="2">
        <v>44986</v>
      </c>
      <c r="B20" t="s">
        <v>4</v>
      </c>
      <c r="C20" s="1">
        <v>106440</v>
      </c>
    </row>
    <row r="21" spans="1:3" x14ac:dyDescent="0.3">
      <c r="A21" s="2">
        <v>45017</v>
      </c>
      <c r="B21" t="s">
        <v>4</v>
      </c>
      <c r="C21" s="1">
        <v>39800</v>
      </c>
    </row>
    <row r="22" spans="1:3" x14ac:dyDescent="0.3">
      <c r="A22" s="2">
        <v>44743</v>
      </c>
      <c r="B22" t="s">
        <v>5</v>
      </c>
      <c r="C22" s="1">
        <v>14700</v>
      </c>
    </row>
    <row r="23" spans="1:3" x14ac:dyDescent="0.3">
      <c r="A23" s="2">
        <v>44774</v>
      </c>
      <c r="B23" t="s">
        <v>5</v>
      </c>
      <c r="C23" s="1">
        <v>11900</v>
      </c>
    </row>
    <row r="24" spans="1:3" x14ac:dyDescent="0.3">
      <c r="A24" s="2">
        <v>44805</v>
      </c>
      <c r="B24" t="s">
        <v>5</v>
      </c>
      <c r="C24" s="1">
        <v>21800</v>
      </c>
    </row>
    <row r="25" spans="1:3" x14ac:dyDescent="0.3">
      <c r="A25" s="2">
        <v>44835</v>
      </c>
      <c r="B25" t="s">
        <v>5</v>
      </c>
      <c r="C25" s="1">
        <v>18800</v>
      </c>
    </row>
    <row r="26" spans="1:3" x14ac:dyDescent="0.3">
      <c r="A26" s="2">
        <v>44866</v>
      </c>
      <c r="B26" t="s">
        <v>5</v>
      </c>
      <c r="C26" s="1">
        <v>20400</v>
      </c>
    </row>
    <row r="27" spans="1:3" x14ac:dyDescent="0.3">
      <c r="A27" s="2">
        <v>44896</v>
      </c>
      <c r="B27" t="s">
        <v>5</v>
      </c>
      <c r="C27" s="1">
        <v>18800</v>
      </c>
    </row>
    <row r="28" spans="1:3" x14ac:dyDescent="0.3">
      <c r="A28" s="2">
        <v>44927</v>
      </c>
      <c r="B28" t="s">
        <v>5</v>
      </c>
      <c r="C28" s="1">
        <v>27000</v>
      </c>
    </row>
    <row r="29" spans="1:3" x14ac:dyDescent="0.3">
      <c r="A29" s="2">
        <v>44958</v>
      </c>
      <c r="B29" t="s">
        <v>5</v>
      </c>
      <c r="C29" s="1">
        <v>30200</v>
      </c>
    </row>
    <row r="30" spans="1:3" x14ac:dyDescent="0.3">
      <c r="A30" s="2">
        <v>44986</v>
      </c>
      <c r="B30" t="s">
        <v>5</v>
      </c>
      <c r="C30" s="1">
        <v>46500</v>
      </c>
    </row>
    <row r="31" spans="1:3" x14ac:dyDescent="0.3">
      <c r="A31" s="2">
        <v>45017</v>
      </c>
      <c r="B31" t="s">
        <v>5</v>
      </c>
      <c r="C31" s="1">
        <v>26500</v>
      </c>
    </row>
    <row r="32" spans="1:3" x14ac:dyDescent="0.3">
      <c r="A32" s="2">
        <v>44743</v>
      </c>
      <c r="B32" t="s">
        <v>6</v>
      </c>
      <c r="C32" s="1">
        <v>9485</v>
      </c>
    </row>
    <row r="33" spans="1:5" x14ac:dyDescent="0.3">
      <c r="A33" s="2">
        <v>44774</v>
      </c>
      <c r="B33" t="s">
        <v>6</v>
      </c>
      <c r="C33" s="1">
        <v>11681</v>
      </c>
    </row>
    <row r="34" spans="1:5" x14ac:dyDescent="0.3">
      <c r="A34" s="2">
        <v>44805</v>
      </c>
      <c r="B34" t="s">
        <v>6</v>
      </c>
      <c r="C34" s="1">
        <v>5291</v>
      </c>
    </row>
    <row r="35" spans="1:5" x14ac:dyDescent="0.3">
      <c r="A35" s="2">
        <v>44835</v>
      </c>
      <c r="B35" t="s">
        <v>6</v>
      </c>
      <c r="C35" s="1">
        <v>9584</v>
      </c>
    </row>
    <row r="36" spans="1:5" x14ac:dyDescent="0.3">
      <c r="A36" s="2">
        <v>44866</v>
      </c>
      <c r="B36" t="s">
        <v>6</v>
      </c>
      <c r="C36" s="1">
        <v>10782</v>
      </c>
    </row>
    <row r="37" spans="1:5" x14ac:dyDescent="0.3">
      <c r="A37" s="2">
        <v>44896</v>
      </c>
      <c r="B37" t="s">
        <v>6</v>
      </c>
      <c r="C37" s="1">
        <v>5691</v>
      </c>
    </row>
    <row r="38" spans="1:5" x14ac:dyDescent="0.3">
      <c r="A38" s="2">
        <v>44927</v>
      </c>
      <c r="B38" t="s">
        <v>6</v>
      </c>
      <c r="C38" s="1">
        <v>15374</v>
      </c>
    </row>
    <row r="39" spans="1:5" x14ac:dyDescent="0.3">
      <c r="A39" s="2">
        <v>44958</v>
      </c>
      <c r="B39" t="s">
        <v>6</v>
      </c>
      <c r="C39" s="1">
        <v>15374</v>
      </c>
    </row>
    <row r="40" spans="1:5" x14ac:dyDescent="0.3">
      <c r="A40" s="2">
        <v>44986</v>
      </c>
      <c r="B40" t="s">
        <v>6</v>
      </c>
      <c r="C40" s="1">
        <v>13578</v>
      </c>
    </row>
    <row r="41" spans="1:5" x14ac:dyDescent="0.3">
      <c r="A41" s="2">
        <v>45017</v>
      </c>
      <c r="B41" t="s">
        <v>6</v>
      </c>
      <c r="C41" s="1">
        <v>10281</v>
      </c>
    </row>
    <row r="42" spans="1:5" x14ac:dyDescent="0.3">
      <c r="A42" s="2">
        <v>44743</v>
      </c>
      <c r="B42" t="s">
        <v>7</v>
      </c>
      <c r="C42" s="1">
        <v>798</v>
      </c>
      <c r="E42" t="s">
        <v>24</v>
      </c>
    </row>
    <row r="43" spans="1:5" x14ac:dyDescent="0.3">
      <c r="A43" s="2">
        <v>44774</v>
      </c>
      <c r="B43" t="s">
        <v>7</v>
      </c>
      <c r="C43" s="1">
        <v>1270</v>
      </c>
      <c r="E43" t="s">
        <v>25</v>
      </c>
    </row>
    <row r="44" spans="1:5" x14ac:dyDescent="0.3">
      <c r="A44" s="2">
        <v>44805</v>
      </c>
      <c r="B44" t="s">
        <v>7</v>
      </c>
      <c r="C44" s="1">
        <v>2039</v>
      </c>
      <c r="E44" t="s">
        <v>26</v>
      </c>
    </row>
    <row r="45" spans="1:5" x14ac:dyDescent="0.3">
      <c r="A45" s="2">
        <v>44835</v>
      </c>
      <c r="B45" t="s">
        <v>7</v>
      </c>
      <c r="C45" s="1">
        <v>599</v>
      </c>
      <c r="E45" t="s">
        <v>27</v>
      </c>
    </row>
    <row r="46" spans="1:5" x14ac:dyDescent="0.3">
      <c r="A46" s="2">
        <v>44866</v>
      </c>
      <c r="B46" t="s">
        <v>7</v>
      </c>
      <c r="C46" s="1">
        <v>1807</v>
      </c>
    </row>
    <row r="47" spans="1:5" x14ac:dyDescent="0.3">
      <c r="A47" s="2">
        <v>44896</v>
      </c>
      <c r="B47" t="s">
        <v>7</v>
      </c>
      <c r="C47" s="1">
        <v>609</v>
      </c>
    </row>
    <row r="48" spans="1:5" x14ac:dyDescent="0.3">
      <c r="A48" s="2">
        <v>44927</v>
      </c>
      <c r="B48" t="s">
        <v>7</v>
      </c>
      <c r="C48" s="1">
        <v>4064</v>
      </c>
    </row>
    <row r="49" spans="1:3" x14ac:dyDescent="0.3">
      <c r="A49" s="2">
        <v>44958</v>
      </c>
      <c r="B49" t="s">
        <v>7</v>
      </c>
      <c r="C49" s="1">
        <v>1258</v>
      </c>
    </row>
    <row r="50" spans="1:3" x14ac:dyDescent="0.3">
      <c r="A50" s="2">
        <v>44986</v>
      </c>
      <c r="B50" t="s">
        <v>7</v>
      </c>
      <c r="C50" s="1">
        <v>3670</v>
      </c>
    </row>
    <row r="51" spans="1:3" x14ac:dyDescent="0.3">
      <c r="A51" s="2">
        <v>45017</v>
      </c>
      <c r="B51" t="s">
        <v>7</v>
      </c>
      <c r="C51" s="1">
        <v>1669</v>
      </c>
    </row>
  </sheetData>
  <autoFilter ref="A1:C1" xr:uid="{00000000-0009-0000-0000-000000000000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9075-D941-48C7-8DD1-8871B674208C}">
  <dimension ref="A1:G28"/>
  <sheetViews>
    <sheetView workbookViewId="0">
      <selection activeCell="C2" sqref="C2"/>
    </sheetView>
  </sheetViews>
  <sheetFormatPr defaultRowHeight="14.4" x14ac:dyDescent="0.3"/>
  <cols>
    <col min="1" max="1" width="24.33203125" bestFit="1" customWidth="1"/>
    <col min="2" max="2" width="14.6640625" bestFit="1" customWidth="1"/>
  </cols>
  <sheetData>
    <row r="1" spans="1:3" x14ac:dyDescent="0.3">
      <c r="A1" t="s">
        <v>0</v>
      </c>
      <c r="B1" t="s">
        <v>70</v>
      </c>
      <c r="C1" t="s">
        <v>71</v>
      </c>
    </row>
    <row r="2" spans="1:3" x14ac:dyDescent="0.3">
      <c r="A2" s="23">
        <v>44743</v>
      </c>
      <c r="B2">
        <v>29</v>
      </c>
      <c r="C2" s="1">
        <v>4930</v>
      </c>
    </row>
    <row r="3" spans="1:3" x14ac:dyDescent="0.3">
      <c r="A3" s="23">
        <v>44774</v>
      </c>
      <c r="B3">
        <v>31.56</v>
      </c>
      <c r="C3" s="1">
        <v>17170</v>
      </c>
    </row>
    <row r="4" spans="1:3" x14ac:dyDescent="0.3">
      <c r="A4" s="23">
        <v>44805</v>
      </c>
      <c r="B4">
        <v>32.17</v>
      </c>
      <c r="C4" s="1">
        <v>12580</v>
      </c>
    </row>
    <row r="5" spans="1:3" x14ac:dyDescent="0.3">
      <c r="A5" s="23">
        <v>44835</v>
      </c>
      <c r="B5">
        <v>28</v>
      </c>
      <c r="C5" s="1">
        <v>14280</v>
      </c>
    </row>
    <row r="6" spans="1:3" x14ac:dyDescent="0.3">
      <c r="A6" s="23">
        <v>44866</v>
      </c>
      <c r="B6">
        <v>29.6</v>
      </c>
      <c r="C6" s="1">
        <v>12580</v>
      </c>
    </row>
    <row r="7" spans="1:3" x14ac:dyDescent="0.3">
      <c r="A7" s="23">
        <v>44896</v>
      </c>
      <c r="B7">
        <v>30</v>
      </c>
      <c r="C7" s="1">
        <v>11730</v>
      </c>
    </row>
    <row r="8" spans="1:3" x14ac:dyDescent="0.3">
      <c r="A8" s="23">
        <v>44927</v>
      </c>
      <c r="B8">
        <v>19.12</v>
      </c>
      <c r="C8" s="1">
        <v>14300</v>
      </c>
    </row>
    <row r="9" spans="1:3" x14ac:dyDescent="0.3">
      <c r="A9" s="23">
        <v>44958</v>
      </c>
      <c r="B9">
        <v>17.350000000000001</v>
      </c>
      <c r="C9" s="1">
        <v>12980</v>
      </c>
    </row>
    <row r="10" spans="1:3" x14ac:dyDescent="0.3">
      <c r="A10" s="23">
        <v>44986</v>
      </c>
      <c r="B10">
        <v>22.05</v>
      </c>
      <c r="C10" s="1">
        <v>37840</v>
      </c>
    </row>
    <row r="11" spans="1:3" x14ac:dyDescent="0.3">
      <c r="A11" s="23">
        <v>45017</v>
      </c>
      <c r="B11">
        <v>23.08</v>
      </c>
      <c r="C11" s="1">
        <v>13200</v>
      </c>
    </row>
    <row r="27" spans="7:7" x14ac:dyDescent="0.3">
      <c r="G27" t="s">
        <v>28</v>
      </c>
    </row>
    <row r="28" spans="7:7" x14ac:dyDescent="0.3">
      <c r="G28" t="s">
        <v>29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9CC5-6CA8-400B-BB89-FE87C4049E53}">
  <dimension ref="A1:G29"/>
  <sheetViews>
    <sheetView workbookViewId="0">
      <selection activeCell="F23" sqref="F23"/>
    </sheetView>
  </sheetViews>
  <sheetFormatPr defaultRowHeight="14.4" x14ac:dyDescent="0.3"/>
  <cols>
    <col min="1" max="1" width="13.21875" customWidth="1"/>
    <col min="4" max="4" width="30.109375" bestFit="1" customWidth="1"/>
    <col min="6" max="6" width="17.5546875" bestFit="1" customWidth="1"/>
  </cols>
  <sheetData>
    <row r="1" spans="1:6" x14ac:dyDescent="0.3">
      <c r="A1" s="7" t="s">
        <v>0</v>
      </c>
      <c r="B1" s="7" t="s">
        <v>2</v>
      </c>
      <c r="C1" s="7" t="s">
        <v>30</v>
      </c>
      <c r="D1" s="7" t="s">
        <v>72</v>
      </c>
      <c r="E1" s="7" t="s">
        <v>31</v>
      </c>
      <c r="F1" s="7" t="s">
        <v>73</v>
      </c>
    </row>
    <row r="2" spans="1:6" x14ac:dyDescent="0.3">
      <c r="A2" s="23">
        <v>44743</v>
      </c>
      <c r="B2" s="8">
        <v>84168</v>
      </c>
      <c r="C2" s="8">
        <v>71</v>
      </c>
      <c r="D2" s="9">
        <v>1185.4647887323943</v>
      </c>
      <c r="E2" s="9">
        <v>10.033333333333333</v>
      </c>
      <c r="F2" s="9">
        <v>118.15263675073697</v>
      </c>
    </row>
    <row r="3" spans="1:6" x14ac:dyDescent="0.3">
      <c r="A3" s="23">
        <v>44774</v>
      </c>
      <c r="B3" s="8">
        <v>65006</v>
      </c>
      <c r="C3" s="8">
        <v>76</v>
      </c>
      <c r="D3" s="9">
        <v>855.34210526315792</v>
      </c>
      <c r="E3" s="8">
        <v>9</v>
      </c>
      <c r="F3" s="9">
        <v>95.038011695906434</v>
      </c>
    </row>
    <row r="4" spans="1:6" x14ac:dyDescent="0.3">
      <c r="A4" s="23">
        <v>44805</v>
      </c>
      <c r="B4" s="8">
        <v>86312</v>
      </c>
      <c r="C4" s="8">
        <v>82</v>
      </c>
      <c r="D4" s="9">
        <v>1052.5853658536585</v>
      </c>
      <c r="E4" s="9">
        <v>7.9666666666666668</v>
      </c>
      <c r="F4" s="9">
        <v>132.12368609041738</v>
      </c>
    </row>
    <row r="5" spans="1:6" x14ac:dyDescent="0.3">
      <c r="A5" s="23">
        <v>44835</v>
      </c>
      <c r="B5" s="8">
        <v>80844</v>
      </c>
      <c r="C5" s="8">
        <v>87</v>
      </c>
      <c r="D5" s="9">
        <v>929.24137931034488</v>
      </c>
      <c r="E5" s="9">
        <v>6.9666666666666668</v>
      </c>
      <c r="F5" s="9">
        <v>133.3839300445471</v>
      </c>
    </row>
    <row r="6" spans="1:6" x14ac:dyDescent="0.3">
      <c r="A6" s="23">
        <v>44866</v>
      </c>
      <c r="B6" s="8">
        <v>80719</v>
      </c>
      <c r="C6" s="8">
        <v>77</v>
      </c>
      <c r="D6" s="9">
        <v>1048.2987012987012</v>
      </c>
      <c r="E6" s="9">
        <v>5.9333333333333336</v>
      </c>
      <c r="F6" s="9">
        <v>176.67955639865752</v>
      </c>
    </row>
    <row r="7" spans="1:6" x14ac:dyDescent="0.3">
      <c r="A7" s="23">
        <v>44896</v>
      </c>
      <c r="B7" s="8">
        <v>82357</v>
      </c>
      <c r="C7" s="8">
        <v>83</v>
      </c>
      <c r="D7" s="9">
        <v>992.25301204819277</v>
      </c>
      <c r="E7" s="9">
        <v>4.9333333333333336</v>
      </c>
      <c r="F7" s="9">
        <v>201.13236730706609</v>
      </c>
    </row>
    <row r="8" spans="1:6" x14ac:dyDescent="0.3">
      <c r="A8" s="23">
        <v>44927</v>
      </c>
      <c r="B8" s="8">
        <v>129700</v>
      </c>
      <c r="C8" s="8">
        <v>127</v>
      </c>
      <c r="D8" s="9">
        <v>1021.2598425196851</v>
      </c>
      <c r="E8" s="9">
        <v>3.9</v>
      </c>
      <c r="F8" s="9">
        <v>261.86149808197052</v>
      </c>
    </row>
    <row r="9" spans="1:6" x14ac:dyDescent="0.3">
      <c r="A9" s="23">
        <v>44958</v>
      </c>
      <c r="B9" s="8">
        <v>143247</v>
      </c>
      <c r="C9" s="8">
        <v>124</v>
      </c>
      <c r="D9" s="9">
        <v>1155.2177419354839</v>
      </c>
      <c r="E9" s="9">
        <v>2.8666666666666667</v>
      </c>
      <c r="F9" s="9">
        <v>402.9829332333083</v>
      </c>
    </row>
    <row r="10" spans="1:6" x14ac:dyDescent="0.3">
      <c r="A10" s="23">
        <v>44986</v>
      </c>
      <c r="B10" s="8">
        <v>224011</v>
      </c>
      <c r="C10" s="8">
        <v>206</v>
      </c>
      <c r="D10" s="9">
        <v>1087.4320388349515</v>
      </c>
      <c r="E10" s="9">
        <v>1.9333333333333333</v>
      </c>
      <c r="F10" s="9">
        <v>562.4648476732508</v>
      </c>
    </row>
    <row r="16" spans="1:6" x14ac:dyDescent="0.3">
      <c r="A16" t="s">
        <v>32</v>
      </c>
    </row>
    <row r="27" spans="7:7" x14ac:dyDescent="0.3">
      <c r="G27" t="s">
        <v>33</v>
      </c>
    </row>
    <row r="28" spans="7:7" x14ac:dyDescent="0.3">
      <c r="G28" t="s">
        <v>34</v>
      </c>
    </row>
    <row r="29" spans="7:7" x14ac:dyDescent="0.3">
      <c r="G29" t="s">
        <v>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10C1-BF6C-4BFF-A766-BDE3242BA182}">
  <dimension ref="A1:B21"/>
  <sheetViews>
    <sheetView workbookViewId="0">
      <selection activeCell="B25" sqref="B25"/>
    </sheetView>
  </sheetViews>
  <sheetFormatPr defaultRowHeight="14.4" x14ac:dyDescent="0.3"/>
  <cols>
    <col min="2" max="2" width="44.5546875" bestFit="1" customWidth="1"/>
  </cols>
  <sheetData>
    <row r="1" spans="1:2" x14ac:dyDescent="0.3">
      <c r="A1" s="10" t="s">
        <v>36</v>
      </c>
      <c r="B1" s="11" t="s">
        <v>37</v>
      </c>
    </row>
    <row r="2" spans="1:2" x14ac:dyDescent="0.3">
      <c r="A2" s="12">
        <v>1</v>
      </c>
      <c r="B2" s="13" t="s">
        <v>38</v>
      </c>
    </row>
    <row r="3" spans="1:2" x14ac:dyDescent="0.3">
      <c r="A3" s="12">
        <v>0</v>
      </c>
      <c r="B3" s="13" t="s">
        <v>39</v>
      </c>
    </row>
    <row r="4" spans="1:2" ht="15" thickBot="1" x14ac:dyDescent="0.35">
      <c r="A4" s="14"/>
      <c r="B4" s="15"/>
    </row>
    <row r="6" spans="1:2" x14ac:dyDescent="0.3">
      <c r="A6" t="s">
        <v>44</v>
      </c>
    </row>
    <row r="7" spans="1:2" x14ac:dyDescent="0.3">
      <c r="A7" t="s">
        <v>45</v>
      </c>
    </row>
    <row r="8" spans="1:2" x14ac:dyDescent="0.3">
      <c r="A8" t="s">
        <v>40</v>
      </c>
    </row>
    <row r="9" spans="1:2" x14ac:dyDescent="0.3">
      <c r="A9" t="s">
        <v>46</v>
      </c>
    </row>
    <row r="10" spans="1:2" x14ac:dyDescent="0.3">
      <c r="A10" t="s">
        <v>47</v>
      </c>
    </row>
    <row r="11" spans="1:2" x14ac:dyDescent="0.3">
      <c r="A11" t="s">
        <v>48</v>
      </c>
    </row>
    <row r="13" spans="1:2" x14ac:dyDescent="0.3">
      <c r="A13" t="s">
        <v>41</v>
      </c>
    </row>
    <row r="14" spans="1:2" x14ac:dyDescent="0.3">
      <c r="A14" t="s">
        <v>42</v>
      </c>
    </row>
    <row r="15" spans="1:2" x14ac:dyDescent="0.3">
      <c r="A15" t="s">
        <v>43</v>
      </c>
    </row>
    <row r="18" spans="1:1" x14ac:dyDescent="0.3">
      <c r="A18" t="s">
        <v>49</v>
      </c>
    </row>
    <row r="19" spans="1:1" x14ac:dyDescent="0.3">
      <c r="A19" t="s">
        <v>50</v>
      </c>
    </row>
    <row r="20" spans="1:1" x14ac:dyDescent="0.3">
      <c r="A20" t="s">
        <v>51</v>
      </c>
    </row>
    <row r="21" spans="1:1" x14ac:dyDescent="0.3">
      <c r="A21" t="s">
        <v>52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4AF8-9A42-4C50-A57C-084B2BA91475}">
  <dimension ref="A1:E23"/>
  <sheetViews>
    <sheetView tabSelected="1" topLeftCell="A4" workbookViewId="0">
      <selection activeCell="A10" sqref="A10"/>
    </sheetView>
  </sheetViews>
  <sheetFormatPr defaultRowHeight="14.4" x14ac:dyDescent="0.3"/>
  <cols>
    <col min="2" max="2" width="22.33203125" bestFit="1" customWidth="1"/>
    <col min="3" max="3" width="15" bestFit="1" customWidth="1"/>
    <col min="4" max="4" width="44.6640625" bestFit="1" customWidth="1"/>
  </cols>
  <sheetData>
    <row r="1" spans="1:5" x14ac:dyDescent="0.3">
      <c r="A1" s="17" t="s">
        <v>53</v>
      </c>
      <c r="B1" s="18" t="s">
        <v>54</v>
      </c>
      <c r="C1" s="19" t="s">
        <v>55</v>
      </c>
    </row>
    <row r="2" spans="1:5" ht="15" thickBot="1" x14ac:dyDescent="0.35">
      <c r="A2" s="20">
        <v>0.9207277452891488</v>
      </c>
      <c r="B2" s="21">
        <v>342</v>
      </c>
      <c r="C2" s="22">
        <v>314.88888888888891</v>
      </c>
    </row>
    <row r="4" spans="1:5" x14ac:dyDescent="0.3">
      <c r="A4" t="s">
        <v>56</v>
      </c>
    </row>
    <row r="5" spans="1:5" x14ac:dyDescent="0.3">
      <c r="A5" t="s">
        <v>57</v>
      </c>
    </row>
    <row r="6" spans="1:5" x14ac:dyDescent="0.3">
      <c r="A6" t="s">
        <v>58</v>
      </c>
    </row>
    <row r="8" spans="1:5" x14ac:dyDescent="0.3">
      <c r="A8" t="s">
        <v>59</v>
      </c>
    </row>
    <row r="9" spans="1:5" x14ac:dyDescent="0.3">
      <c r="A9" t="s">
        <v>60</v>
      </c>
    </row>
    <row r="10" spans="1:5" x14ac:dyDescent="0.3">
      <c r="A10" t="s">
        <v>61</v>
      </c>
    </row>
    <row r="12" spans="1:5" x14ac:dyDescent="0.3">
      <c r="A12" t="s">
        <v>62</v>
      </c>
    </row>
    <row r="14" spans="1:5" x14ac:dyDescent="0.3">
      <c r="A14" t="s">
        <v>63</v>
      </c>
    </row>
    <row r="16" spans="1:5" x14ac:dyDescent="0.3">
      <c r="A16" s="16" t="s">
        <v>64</v>
      </c>
      <c r="E16">
        <v>314.89</v>
      </c>
    </row>
    <row r="20" spans="2:4" x14ac:dyDescent="0.3">
      <c r="B20" s="27" t="s">
        <v>74</v>
      </c>
      <c r="C20" s="28" t="s">
        <v>75</v>
      </c>
      <c r="D20" s="29" t="s">
        <v>64</v>
      </c>
    </row>
    <row r="21" spans="2:4" x14ac:dyDescent="0.3">
      <c r="B21" s="30"/>
      <c r="C21" s="24"/>
      <c r="D21" s="31"/>
    </row>
    <row r="22" spans="2:4" x14ac:dyDescent="0.3">
      <c r="B22" s="32">
        <v>342</v>
      </c>
      <c r="C22" s="25">
        <v>0.92</v>
      </c>
      <c r="D22" s="33">
        <v>314.89</v>
      </c>
    </row>
    <row r="23" spans="2:4" x14ac:dyDescent="0.3">
      <c r="B23" s="34"/>
      <c r="C23" s="26"/>
      <c r="D2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Задача 1 ТЗ-2</vt:lpstr>
      <vt:lpstr>Задача 2 ТЗ-2</vt:lpstr>
      <vt:lpstr>Задача 3 ТЗ-2</vt:lpstr>
      <vt:lpstr>Задача 4 ТЗ-2</vt:lpstr>
      <vt:lpstr>Задача 5 ТЗ-2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Gargulya1</cp:lastModifiedBy>
  <dcterms:created xsi:type="dcterms:W3CDTF">2026-05-30T03:48:11Z</dcterms:created>
  <dcterms:modified xsi:type="dcterms:W3CDTF">2026-06-19T07:07:51Z</dcterms:modified>
</cp:coreProperties>
</file>
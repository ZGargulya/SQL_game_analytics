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gulya1\Desktop\аналитик\SQL\для курсовой\"/>
    </mc:Choice>
  </mc:AlternateContent>
  <xr:revisionPtr revIDLastSave="0" documentId="13_ncr:1_{B379F927-6AD5-4352-A9CD-C94B0AD4838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База" sheetId="1" r:id="rId1"/>
    <sheet name="Игровые сессии" sheetId="5" r:id="rId2"/>
    <sheet name="Дин.дл.сессий" sheetId="2" r:id="rId3"/>
    <sheet name="1 сессия" sheetId="3" r:id="rId4"/>
    <sheet name="DAU,WAU,MAU" sheetId="4" r:id="rId5"/>
    <sheet name="LDAU,LWAU,LMAU" sheetId="6" r:id="rId6"/>
    <sheet name="больше 1000 р" sheetId="7" r:id="rId7"/>
    <sheet name="оба критерия лоял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База!$A$1:$B$1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3" i="6" l="1"/>
  <c r="E303" i="6"/>
  <c r="D303" i="6"/>
  <c r="C303" i="6"/>
  <c r="E302" i="6"/>
  <c r="D302" i="6"/>
  <c r="F302" i="6" s="1"/>
  <c r="C302" i="6"/>
  <c r="E301" i="6"/>
  <c r="D301" i="6"/>
  <c r="F301" i="6" s="1"/>
  <c r="C301" i="6"/>
  <c r="F300" i="6"/>
  <c r="E300" i="6"/>
  <c r="D300" i="6"/>
  <c r="C300" i="6"/>
  <c r="E299" i="6"/>
  <c r="D299" i="6"/>
  <c r="F299" i="6" s="1"/>
  <c r="C299" i="6"/>
  <c r="E298" i="6"/>
  <c r="D298" i="6"/>
  <c r="F298" i="6" s="1"/>
  <c r="C298" i="6"/>
  <c r="F297" i="6"/>
  <c r="E297" i="6"/>
  <c r="D297" i="6"/>
  <c r="C297" i="6"/>
  <c r="E296" i="6"/>
  <c r="D296" i="6"/>
  <c r="F296" i="6" s="1"/>
  <c r="C296" i="6"/>
  <c r="E295" i="6"/>
  <c r="D295" i="6"/>
  <c r="F295" i="6" s="1"/>
  <c r="C295" i="6"/>
  <c r="E294" i="6"/>
  <c r="D294" i="6"/>
  <c r="F294" i="6" s="1"/>
  <c r="C294" i="6"/>
  <c r="E293" i="6"/>
  <c r="D293" i="6"/>
  <c r="F293" i="6" s="1"/>
  <c r="C293" i="6"/>
  <c r="E292" i="6"/>
  <c r="D292" i="6"/>
  <c r="F292" i="6" s="1"/>
  <c r="C292" i="6"/>
  <c r="E291" i="6"/>
  <c r="D291" i="6"/>
  <c r="F291" i="6" s="1"/>
  <c r="C291" i="6"/>
  <c r="E290" i="6"/>
  <c r="D290" i="6"/>
  <c r="F290" i="6" s="1"/>
  <c r="C290" i="6"/>
  <c r="E289" i="6"/>
  <c r="D289" i="6"/>
  <c r="F289" i="6" s="1"/>
  <c r="C289" i="6"/>
  <c r="E288" i="6"/>
  <c r="D288" i="6"/>
  <c r="F288" i="6" s="1"/>
  <c r="C288" i="6"/>
  <c r="E287" i="6"/>
  <c r="D287" i="6"/>
  <c r="F287" i="6" s="1"/>
  <c r="C287" i="6"/>
  <c r="E286" i="6"/>
  <c r="D286" i="6"/>
  <c r="F286" i="6" s="1"/>
  <c r="C286" i="6"/>
  <c r="E285" i="6"/>
  <c r="D285" i="6"/>
  <c r="F285" i="6" s="1"/>
  <c r="C285" i="6"/>
  <c r="E284" i="6"/>
  <c r="D284" i="6"/>
  <c r="F284" i="6" s="1"/>
  <c r="C284" i="6"/>
  <c r="E283" i="6"/>
  <c r="D283" i="6"/>
  <c r="F283" i="6" s="1"/>
  <c r="C283" i="6"/>
  <c r="E282" i="6"/>
  <c r="D282" i="6"/>
  <c r="F282" i="6" s="1"/>
  <c r="C282" i="6"/>
  <c r="E281" i="6"/>
  <c r="D281" i="6"/>
  <c r="F281" i="6" s="1"/>
  <c r="C281" i="6"/>
  <c r="F280" i="6"/>
  <c r="E280" i="6"/>
  <c r="D280" i="6"/>
  <c r="C280" i="6"/>
  <c r="E279" i="6"/>
  <c r="D279" i="6"/>
  <c r="F279" i="6" s="1"/>
  <c r="C279" i="6"/>
  <c r="E278" i="6"/>
  <c r="D278" i="6"/>
  <c r="F278" i="6" s="1"/>
  <c r="C278" i="6"/>
  <c r="F277" i="6"/>
  <c r="E277" i="6"/>
  <c r="D277" i="6"/>
  <c r="C277" i="6"/>
  <c r="E276" i="6"/>
  <c r="D276" i="6"/>
  <c r="F276" i="6" s="1"/>
  <c r="C276" i="6"/>
  <c r="E275" i="6"/>
  <c r="D275" i="6"/>
  <c r="F275" i="6" s="1"/>
  <c r="C275" i="6"/>
  <c r="F274" i="6"/>
  <c r="E274" i="6"/>
  <c r="D274" i="6"/>
  <c r="C274" i="6"/>
  <c r="E273" i="6"/>
  <c r="D273" i="6"/>
  <c r="F273" i="6" s="1"/>
  <c r="C273" i="6"/>
  <c r="E272" i="6"/>
  <c r="D272" i="6"/>
  <c r="F272" i="6" s="1"/>
  <c r="C272" i="6"/>
  <c r="E271" i="6"/>
  <c r="D271" i="6"/>
  <c r="F271" i="6" s="1"/>
  <c r="C271" i="6"/>
  <c r="E270" i="6"/>
  <c r="D270" i="6"/>
  <c r="F270" i="6" s="1"/>
  <c r="C270" i="6"/>
  <c r="E269" i="6"/>
  <c r="D269" i="6"/>
  <c r="F269" i="6" s="1"/>
  <c r="C269" i="6"/>
  <c r="E268" i="6"/>
  <c r="D268" i="6"/>
  <c r="F268" i="6" s="1"/>
  <c r="C268" i="6"/>
  <c r="F267" i="6"/>
  <c r="E267" i="6"/>
  <c r="D267" i="6"/>
  <c r="C267" i="6"/>
  <c r="E266" i="6"/>
  <c r="D266" i="6"/>
  <c r="F266" i="6" s="1"/>
  <c r="C266" i="6"/>
  <c r="E265" i="6"/>
  <c r="D265" i="6"/>
  <c r="F265" i="6" s="1"/>
  <c r="C265" i="6"/>
  <c r="F264" i="6"/>
  <c r="E264" i="6"/>
  <c r="D264" i="6"/>
  <c r="C264" i="6"/>
  <c r="E263" i="6"/>
  <c r="D263" i="6"/>
  <c r="F263" i="6" s="1"/>
  <c r="C263" i="6"/>
  <c r="E262" i="6"/>
  <c r="D262" i="6"/>
  <c r="F262" i="6" s="1"/>
  <c r="C262" i="6"/>
  <c r="F261" i="6"/>
  <c r="E261" i="6"/>
  <c r="D261" i="6"/>
  <c r="C261" i="6"/>
  <c r="E260" i="6"/>
  <c r="D260" i="6"/>
  <c r="F260" i="6" s="1"/>
  <c r="C260" i="6"/>
  <c r="E259" i="6"/>
  <c r="D259" i="6"/>
  <c r="F259" i="6" s="1"/>
  <c r="C259" i="6"/>
  <c r="E258" i="6"/>
  <c r="D258" i="6"/>
  <c r="F258" i="6" s="1"/>
  <c r="C258" i="6"/>
  <c r="E257" i="6"/>
  <c r="D257" i="6"/>
  <c r="F257" i="6" s="1"/>
  <c r="C257" i="6"/>
  <c r="E256" i="6"/>
  <c r="D256" i="6"/>
  <c r="F256" i="6" s="1"/>
  <c r="C256" i="6"/>
  <c r="E255" i="6"/>
  <c r="D255" i="6"/>
  <c r="F255" i="6" s="1"/>
  <c r="C255" i="6"/>
  <c r="E254" i="6"/>
  <c r="D254" i="6"/>
  <c r="F254" i="6" s="1"/>
  <c r="C254" i="6"/>
  <c r="E253" i="6"/>
  <c r="D253" i="6"/>
  <c r="F253" i="6" s="1"/>
  <c r="C253" i="6"/>
  <c r="E252" i="6"/>
  <c r="D252" i="6"/>
  <c r="F252" i="6" s="1"/>
  <c r="C252" i="6"/>
  <c r="E251" i="6"/>
  <c r="D251" i="6"/>
  <c r="F251" i="6" s="1"/>
  <c r="C251" i="6"/>
  <c r="E250" i="6"/>
  <c r="D250" i="6"/>
  <c r="F250" i="6" s="1"/>
  <c r="C250" i="6"/>
  <c r="E249" i="6"/>
  <c r="D249" i="6"/>
  <c r="F249" i="6" s="1"/>
  <c r="C249" i="6"/>
  <c r="E248" i="6"/>
  <c r="D248" i="6"/>
  <c r="F248" i="6" s="1"/>
  <c r="C248" i="6"/>
  <c r="E247" i="6"/>
  <c r="D247" i="6"/>
  <c r="F247" i="6" s="1"/>
  <c r="C247" i="6"/>
  <c r="E246" i="6"/>
  <c r="D246" i="6"/>
  <c r="F246" i="6" s="1"/>
  <c r="C246" i="6"/>
  <c r="E245" i="6"/>
  <c r="D245" i="6"/>
  <c r="F245" i="6" s="1"/>
  <c r="C245" i="6"/>
  <c r="F244" i="6"/>
  <c r="E244" i="6"/>
  <c r="D244" i="6"/>
  <c r="C244" i="6"/>
  <c r="E243" i="6"/>
  <c r="D243" i="6"/>
  <c r="F243" i="6" s="1"/>
  <c r="C243" i="6"/>
  <c r="E242" i="6"/>
  <c r="D242" i="6"/>
  <c r="F242" i="6" s="1"/>
  <c r="C242" i="6"/>
  <c r="F241" i="6"/>
  <c r="E241" i="6"/>
  <c r="D241" i="6"/>
  <c r="C241" i="6"/>
  <c r="E240" i="6"/>
  <c r="D240" i="6"/>
  <c r="F240" i="6" s="1"/>
  <c r="C240" i="6"/>
  <c r="E239" i="6"/>
  <c r="D239" i="6"/>
  <c r="F239" i="6" s="1"/>
  <c r="C239" i="6"/>
  <c r="F238" i="6"/>
  <c r="E238" i="6"/>
  <c r="D238" i="6"/>
  <c r="C238" i="6"/>
  <c r="E237" i="6"/>
  <c r="D237" i="6"/>
  <c r="F237" i="6" s="1"/>
  <c r="C237" i="6"/>
  <c r="E236" i="6"/>
  <c r="D236" i="6"/>
  <c r="F236" i="6" s="1"/>
  <c r="C236" i="6"/>
  <c r="E235" i="6"/>
  <c r="D235" i="6"/>
  <c r="F235" i="6" s="1"/>
  <c r="C235" i="6"/>
  <c r="E234" i="6"/>
  <c r="D234" i="6"/>
  <c r="F234" i="6" s="1"/>
  <c r="C234" i="6"/>
  <c r="E233" i="6"/>
  <c r="D233" i="6"/>
  <c r="F233" i="6" s="1"/>
  <c r="C233" i="6"/>
  <c r="E232" i="6"/>
  <c r="D232" i="6"/>
  <c r="F232" i="6" s="1"/>
  <c r="C232" i="6"/>
  <c r="F231" i="6"/>
  <c r="E231" i="6"/>
  <c r="D231" i="6"/>
  <c r="C231" i="6"/>
  <c r="E230" i="6"/>
  <c r="D230" i="6"/>
  <c r="F230" i="6" s="1"/>
  <c r="C230" i="6"/>
  <c r="E229" i="6"/>
  <c r="D229" i="6"/>
  <c r="F229" i="6" s="1"/>
  <c r="C229" i="6"/>
  <c r="F228" i="6"/>
  <c r="E228" i="6"/>
  <c r="D228" i="6"/>
  <c r="C228" i="6"/>
  <c r="E227" i="6"/>
  <c r="D227" i="6"/>
  <c r="F227" i="6" s="1"/>
  <c r="C227" i="6"/>
  <c r="E226" i="6"/>
  <c r="D226" i="6"/>
  <c r="F226" i="6" s="1"/>
  <c r="C226" i="6"/>
  <c r="F225" i="6"/>
  <c r="E225" i="6"/>
  <c r="D225" i="6"/>
  <c r="C225" i="6"/>
  <c r="E224" i="6"/>
  <c r="D224" i="6"/>
  <c r="F224" i="6" s="1"/>
  <c r="C224" i="6"/>
  <c r="E223" i="6"/>
  <c r="D223" i="6"/>
  <c r="F223" i="6" s="1"/>
  <c r="C223" i="6"/>
  <c r="E222" i="6"/>
  <c r="D222" i="6"/>
  <c r="F222" i="6" s="1"/>
  <c r="C222" i="6"/>
  <c r="E221" i="6"/>
  <c r="D221" i="6"/>
  <c r="F221" i="6" s="1"/>
  <c r="C221" i="6"/>
  <c r="E220" i="6"/>
  <c r="D220" i="6"/>
  <c r="F220" i="6" s="1"/>
  <c r="C220" i="6"/>
  <c r="E219" i="6"/>
  <c r="D219" i="6"/>
  <c r="F219" i="6" s="1"/>
  <c r="C219" i="6"/>
  <c r="E218" i="6"/>
  <c r="D218" i="6"/>
  <c r="F218" i="6" s="1"/>
  <c r="C218" i="6"/>
  <c r="E217" i="6"/>
  <c r="D217" i="6"/>
  <c r="F217" i="6" s="1"/>
  <c r="C217" i="6"/>
  <c r="E216" i="6"/>
  <c r="D216" i="6"/>
  <c r="F216" i="6" s="1"/>
  <c r="C216" i="6"/>
  <c r="E215" i="6"/>
  <c r="D215" i="6"/>
  <c r="F215" i="6" s="1"/>
  <c r="C215" i="6"/>
  <c r="E214" i="6"/>
  <c r="D214" i="6"/>
  <c r="F214" i="6" s="1"/>
  <c r="C214" i="6"/>
  <c r="E213" i="6"/>
  <c r="D213" i="6"/>
  <c r="F213" i="6" s="1"/>
  <c r="C213" i="6"/>
  <c r="E212" i="6"/>
  <c r="D212" i="6"/>
  <c r="F212" i="6" s="1"/>
  <c r="C212" i="6"/>
  <c r="E211" i="6"/>
  <c r="D211" i="6"/>
  <c r="F211" i="6" s="1"/>
  <c r="C211" i="6"/>
  <c r="E210" i="6"/>
  <c r="D210" i="6"/>
  <c r="F210" i="6" s="1"/>
  <c r="C210" i="6"/>
  <c r="E209" i="6"/>
  <c r="D209" i="6"/>
  <c r="F209" i="6" s="1"/>
  <c r="C209" i="6"/>
  <c r="F208" i="6"/>
  <c r="E208" i="6"/>
  <c r="D208" i="6"/>
  <c r="C208" i="6"/>
  <c r="E207" i="6"/>
  <c r="D207" i="6"/>
  <c r="F207" i="6" s="1"/>
  <c r="C207" i="6"/>
  <c r="E206" i="6"/>
  <c r="D206" i="6"/>
  <c r="F206" i="6" s="1"/>
  <c r="C206" i="6"/>
  <c r="F205" i="6"/>
  <c r="E205" i="6"/>
  <c r="D205" i="6"/>
  <c r="C205" i="6"/>
  <c r="E204" i="6"/>
  <c r="D204" i="6"/>
  <c r="F204" i="6" s="1"/>
  <c r="C204" i="6"/>
  <c r="E203" i="6"/>
  <c r="D203" i="6"/>
  <c r="F203" i="6" s="1"/>
  <c r="C203" i="6"/>
  <c r="F202" i="6"/>
  <c r="E202" i="6"/>
  <c r="D202" i="6"/>
  <c r="C202" i="6"/>
  <c r="E201" i="6"/>
  <c r="D201" i="6"/>
  <c r="F201" i="6" s="1"/>
  <c r="C201" i="6"/>
  <c r="E200" i="6"/>
  <c r="D200" i="6"/>
  <c r="F200" i="6" s="1"/>
  <c r="C200" i="6"/>
  <c r="E199" i="6"/>
  <c r="D199" i="6"/>
  <c r="F199" i="6" s="1"/>
  <c r="C199" i="6"/>
  <c r="E198" i="6"/>
  <c r="D198" i="6"/>
  <c r="F198" i="6" s="1"/>
  <c r="C198" i="6"/>
  <c r="E197" i="6"/>
  <c r="D197" i="6"/>
  <c r="F197" i="6" s="1"/>
  <c r="C197" i="6"/>
  <c r="E196" i="6"/>
  <c r="D196" i="6"/>
  <c r="F196" i="6" s="1"/>
  <c r="C196" i="6"/>
  <c r="F195" i="6"/>
  <c r="E195" i="6"/>
  <c r="D195" i="6"/>
  <c r="C195" i="6"/>
  <c r="E194" i="6"/>
  <c r="D194" i="6"/>
  <c r="F194" i="6" s="1"/>
  <c r="C194" i="6"/>
  <c r="E193" i="6"/>
  <c r="D193" i="6"/>
  <c r="F193" i="6" s="1"/>
  <c r="C193" i="6"/>
  <c r="F192" i="6"/>
  <c r="E192" i="6"/>
  <c r="D192" i="6"/>
  <c r="C192" i="6"/>
  <c r="E191" i="6"/>
  <c r="D191" i="6"/>
  <c r="F191" i="6" s="1"/>
  <c r="C191" i="6"/>
  <c r="E190" i="6"/>
  <c r="D190" i="6"/>
  <c r="F190" i="6" s="1"/>
  <c r="C190" i="6"/>
  <c r="F189" i="6"/>
  <c r="E189" i="6"/>
  <c r="D189" i="6"/>
  <c r="C189" i="6"/>
  <c r="E188" i="6"/>
  <c r="D188" i="6"/>
  <c r="F188" i="6" s="1"/>
  <c r="C188" i="6"/>
  <c r="E187" i="6"/>
  <c r="D187" i="6"/>
  <c r="F187" i="6" s="1"/>
  <c r="C187" i="6"/>
  <c r="E186" i="6"/>
  <c r="D186" i="6"/>
  <c r="F186" i="6" s="1"/>
  <c r="C186" i="6"/>
  <c r="E185" i="6"/>
  <c r="D185" i="6"/>
  <c r="F185" i="6" s="1"/>
  <c r="C185" i="6"/>
  <c r="E184" i="6"/>
  <c r="D184" i="6"/>
  <c r="F184" i="6" s="1"/>
  <c r="C184" i="6"/>
  <c r="E183" i="6"/>
  <c r="D183" i="6"/>
  <c r="F183" i="6" s="1"/>
  <c r="C183" i="6"/>
  <c r="E182" i="6"/>
  <c r="D182" i="6"/>
  <c r="F182" i="6" s="1"/>
  <c r="C182" i="6"/>
  <c r="E181" i="6"/>
  <c r="D181" i="6"/>
  <c r="F181" i="6" s="1"/>
  <c r="C181" i="6"/>
  <c r="E180" i="6"/>
  <c r="D180" i="6"/>
  <c r="F180" i="6" s="1"/>
  <c r="C180" i="6"/>
  <c r="E179" i="6"/>
  <c r="D179" i="6"/>
  <c r="F179" i="6" s="1"/>
  <c r="C179" i="6"/>
  <c r="E178" i="6"/>
  <c r="D178" i="6"/>
  <c r="F178" i="6" s="1"/>
  <c r="C178" i="6"/>
  <c r="E177" i="6"/>
  <c r="D177" i="6"/>
  <c r="F177" i="6" s="1"/>
  <c r="C177" i="6"/>
  <c r="E176" i="6"/>
  <c r="D176" i="6"/>
  <c r="F176" i="6" s="1"/>
  <c r="C176" i="6"/>
  <c r="E175" i="6"/>
  <c r="D175" i="6"/>
  <c r="F175" i="6" s="1"/>
  <c r="C175" i="6"/>
  <c r="E174" i="6"/>
  <c r="D174" i="6"/>
  <c r="F174" i="6" s="1"/>
  <c r="C174" i="6"/>
  <c r="E173" i="6"/>
  <c r="D173" i="6"/>
  <c r="F173" i="6" s="1"/>
  <c r="C173" i="6"/>
  <c r="F172" i="6"/>
  <c r="E172" i="6"/>
  <c r="D172" i="6"/>
  <c r="C172" i="6"/>
  <c r="E171" i="6"/>
  <c r="D171" i="6"/>
  <c r="F171" i="6" s="1"/>
  <c r="C171" i="6"/>
  <c r="E170" i="6"/>
  <c r="D170" i="6"/>
  <c r="F170" i="6" s="1"/>
  <c r="C170" i="6"/>
  <c r="F169" i="6"/>
  <c r="E169" i="6"/>
  <c r="D169" i="6"/>
  <c r="C169" i="6"/>
  <c r="E168" i="6"/>
  <c r="D168" i="6"/>
  <c r="F168" i="6" s="1"/>
  <c r="C168" i="6"/>
  <c r="E167" i="6"/>
  <c r="D167" i="6"/>
  <c r="F167" i="6" s="1"/>
  <c r="C167" i="6"/>
  <c r="F166" i="6"/>
  <c r="E166" i="6"/>
  <c r="D166" i="6"/>
  <c r="C166" i="6"/>
  <c r="E165" i="6"/>
  <c r="D165" i="6"/>
  <c r="F165" i="6" s="1"/>
  <c r="C165" i="6"/>
  <c r="E164" i="6"/>
  <c r="D164" i="6"/>
  <c r="F164" i="6" s="1"/>
  <c r="C164" i="6"/>
  <c r="E163" i="6"/>
  <c r="D163" i="6"/>
  <c r="F163" i="6" s="1"/>
  <c r="C163" i="6"/>
  <c r="E162" i="6"/>
  <c r="D162" i="6"/>
  <c r="F162" i="6" s="1"/>
  <c r="C162" i="6"/>
  <c r="E161" i="6"/>
  <c r="D161" i="6"/>
  <c r="F161" i="6" s="1"/>
  <c r="C161" i="6"/>
  <c r="E160" i="6"/>
  <c r="D160" i="6"/>
  <c r="F160" i="6" s="1"/>
  <c r="C160" i="6"/>
  <c r="F159" i="6"/>
  <c r="E159" i="6"/>
  <c r="D159" i="6"/>
  <c r="C159" i="6"/>
  <c r="E158" i="6"/>
  <c r="D158" i="6"/>
  <c r="F158" i="6" s="1"/>
  <c r="C158" i="6"/>
  <c r="E157" i="6"/>
  <c r="D157" i="6"/>
  <c r="F157" i="6" s="1"/>
  <c r="C157" i="6"/>
  <c r="F156" i="6"/>
  <c r="E156" i="6"/>
  <c r="D156" i="6"/>
  <c r="C156" i="6"/>
  <c r="E155" i="6"/>
  <c r="D155" i="6"/>
  <c r="F155" i="6" s="1"/>
  <c r="C155" i="6"/>
  <c r="E154" i="6"/>
  <c r="D154" i="6"/>
  <c r="F154" i="6" s="1"/>
  <c r="C154" i="6"/>
  <c r="F153" i="6"/>
  <c r="E153" i="6"/>
  <c r="D153" i="6"/>
  <c r="C153" i="6"/>
  <c r="E152" i="6"/>
  <c r="D152" i="6"/>
  <c r="F152" i="6" s="1"/>
  <c r="C152" i="6"/>
  <c r="E151" i="6"/>
  <c r="D151" i="6"/>
  <c r="F151" i="6" s="1"/>
  <c r="C151" i="6"/>
  <c r="E150" i="6"/>
  <c r="D150" i="6"/>
  <c r="F150" i="6" s="1"/>
  <c r="C150" i="6"/>
  <c r="E149" i="6"/>
  <c r="D149" i="6"/>
  <c r="F149" i="6" s="1"/>
  <c r="C149" i="6"/>
  <c r="E148" i="6"/>
  <c r="D148" i="6"/>
  <c r="F148" i="6" s="1"/>
  <c r="C148" i="6"/>
  <c r="E147" i="6"/>
  <c r="D147" i="6"/>
  <c r="F147" i="6" s="1"/>
  <c r="C147" i="6"/>
  <c r="E146" i="6"/>
  <c r="D146" i="6"/>
  <c r="F146" i="6" s="1"/>
  <c r="C146" i="6"/>
  <c r="E145" i="6"/>
  <c r="D145" i="6"/>
  <c r="F145" i="6" s="1"/>
  <c r="C145" i="6"/>
  <c r="E144" i="6"/>
  <c r="D144" i="6"/>
  <c r="F144" i="6" s="1"/>
  <c r="C144" i="6"/>
  <c r="E143" i="6"/>
  <c r="D143" i="6"/>
  <c r="F143" i="6" s="1"/>
  <c r="C143" i="6"/>
  <c r="E142" i="6"/>
  <c r="D142" i="6"/>
  <c r="F142" i="6" s="1"/>
  <c r="C142" i="6"/>
  <c r="E141" i="6"/>
  <c r="D141" i="6"/>
  <c r="F141" i="6" s="1"/>
  <c r="C141" i="6"/>
  <c r="E140" i="6"/>
  <c r="D140" i="6"/>
  <c r="F140" i="6" s="1"/>
  <c r="C140" i="6"/>
  <c r="E139" i="6"/>
  <c r="D139" i="6"/>
  <c r="F139" i="6" s="1"/>
  <c r="C139" i="6"/>
  <c r="E138" i="6"/>
  <c r="D138" i="6"/>
  <c r="F138" i="6" s="1"/>
  <c r="C138" i="6"/>
  <c r="E137" i="6"/>
  <c r="D137" i="6"/>
  <c r="F137" i="6" s="1"/>
  <c r="C137" i="6"/>
  <c r="F136" i="6"/>
  <c r="E136" i="6"/>
  <c r="D136" i="6"/>
  <c r="C136" i="6"/>
  <c r="E135" i="6"/>
  <c r="D135" i="6"/>
  <c r="F135" i="6" s="1"/>
  <c r="C135" i="6"/>
  <c r="E134" i="6"/>
  <c r="D134" i="6"/>
  <c r="F134" i="6" s="1"/>
  <c r="C134" i="6"/>
  <c r="F133" i="6"/>
  <c r="E133" i="6"/>
  <c r="D133" i="6"/>
  <c r="C133" i="6"/>
  <c r="E132" i="6"/>
  <c r="D132" i="6"/>
  <c r="F132" i="6" s="1"/>
  <c r="C132" i="6"/>
  <c r="E131" i="6"/>
  <c r="D131" i="6"/>
  <c r="F131" i="6" s="1"/>
  <c r="C131" i="6"/>
  <c r="F130" i="6"/>
  <c r="E130" i="6"/>
  <c r="D130" i="6"/>
  <c r="C130" i="6"/>
  <c r="E129" i="6"/>
  <c r="D129" i="6"/>
  <c r="F129" i="6" s="1"/>
  <c r="C129" i="6"/>
  <c r="E128" i="6"/>
  <c r="D128" i="6"/>
  <c r="F128" i="6" s="1"/>
  <c r="C128" i="6"/>
  <c r="E127" i="6"/>
  <c r="D127" i="6"/>
  <c r="F127" i="6" s="1"/>
  <c r="C127" i="6"/>
  <c r="F126" i="6"/>
  <c r="E126" i="6"/>
  <c r="D126" i="6"/>
  <c r="C126" i="6"/>
  <c r="E125" i="6"/>
  <c r="D125" i="6"/>
  <c r="F125" i="6" s="1"/>
  <c r="C125" i="6"/>
  <c r="E124" i="6"/>
  <c r="D124" i="6"/>
  <c r="F124" i="6" s="1"/>
  <c r="C124" i="6"/>
  <c r="F123" i="6"/>
  <c r="E123" i="6"/>
  <c r="D123" i="6"/>
  <c r="C123" i="6"/>
  <c r="E122" i="6"/>
  <c r="D122" i="6"/>
  <c r="F122" i="6" s="1"/>
  <c r="C122" i="6"/>
  <c r="E121" i="6"/>
  <c r="D121" i="6"/>
  <c r="F121" i="6" s="1"/>
  <c r="C121" i="6"/>
  <c r="F120" i="6"/>
  <c r="E120" i="6"/>
  <c r="D120" i="6"/>
  <c r="C120" i="6"/>
  <c r="E119" i="6"/>
  <c r="D119" i="6"/>
  <c r="F119" i="6" s="1"/>
  <c r="C119" i="6"/>
  <c r="E118" i="6"/>
  <c r="D118" i="6"/>
  <c r="F118" i="6" s="1"/>
  <c r="C118" i="6"/>
  <c r="F117" i="6"/>
  <c r="E117" i="6"/>
  <c r="D117" i="6"/>
  <c r="C117" i="6"/>
  <c r="E116" i="6"/>
  <c r="D116" i="6"/>
  <c r="F116" i="6" s="1"/>
  <c r="C116" i="6"/>
  <c r="E115" i="6"/>
  <c r="D115" i="6"/>
  <c r="F115" i="6" s="1"/>
  <c r="C115" i="6"/>
  <c r="E114" i="6"/>
  <c r="D114" i="6"/>
  <c r="F114" i="6" s="1"/>
  <c r="C114" i="6"/>
  <c r="E113" i="6"/>
  <c r="D113" i="6"/>
  <c r="F113" i="6" s="1"/>
  <c r="C113" i="6"/>
  <c r="E112" i="6"/>
  <c r="D112" i="6"/>
  <c r="F112" i="6" s="1"/>
  <c r="C112" i="6"/>
  <c r="E111" i="6"/>
  <c r="D111" i="6"/>
  <c r="F111" i="6" s="1"/>
  <c r="C111" i="6"/>
  <c r="E110" i="6"/>
  <c r="D110" i="6"/>
  <c r="F110" i="6" s="1"/>
  <c r="C110" i="6"/>
  <c r="E109" i="6"/>
  <c r="D109" i="6"/>
  <c r="F109" i="6" s="1"/>
  <c r="C109" i="6"/>
  <c r="E108" i="6"/>
  <c r="D108" i="6"/>
  <c r="F108" i="6" s="1"/>
  <c r="C108" i="6"/>
  <c r="E107" i="6"/>
  <c r="D107" i="6"/>
  <c r="F107" i="6" s="1"/>
  <c r="C107" i="6"/>
  <c r="E106" i="6"/>
  <c r="D106" i="6"/>
  <c r="F106" i="6" s="1"/>
  <c r="C106" i="6"/>
  <c r="E105" i="6"/>
  <c r="D105" i="6"/>
  <c r="F105" i="6" s="1"/>
  <c r="C105" i="6"/>
  <c r="E104" i="6"/>
  <c r="D104" i="6"/>
  <c r="F104" i="6" s="1"/>
  <c r="C104" i="6"/>
  <c r="F103" i="6"/>
  <c r="E103" i="6"/>
  <c r="D103" i="6"/>
  <c r="C103" i="6"/>
  <c r="E102" i="6"/>
  <c r="D102" i="6"/>
  <c r="F102" i="6" s="1"/>
  <c r="C102" i="6"/>
  <c r="E101" i="6"/>
  <c r="D101" i="6"/>
  <c r="F101" i="6" s="1"/>
  <c r="C101" i="6"/>
  <c r="E100" i="6"/>
  <c r="D100" i="6"/>
  <c r="F100" i="6" s="1"/>
  <c r="C100" i="6"/>
  <c r="E99" i="6"/>
  <c r="D99" i="6"/>
  <c r="F99" i="6" s="1"/>
  <c r="C99" i="6"/>
  <c r="E98" i="6"/>
  <c r="D98" i="6"/>
  <c r="F98" i="6" s="1"/>
  <c r="C98" i="6"/>
  <c r="F97" i="6"/>
  <c r="E97" i="6"/>
  <c r="D97" i="6"/>
  <c r="C97" i="6"/>
  <c r="E96" i="6"/>
  <c r="D96" i="6"/>
  <c r="F96" i="6" s="1"/>
  <c r="C96" i="6"/>
  <c r="E95" i="6"/>
  <c r="D95" i="6"/>
  <c r="F95" i="6" s="1"/>
  <c r="C95" i="6"/>
  <c r="F94" i="6"/>
  <c r="E94" i="6"/>
  <c r="D94" i="6"/>
  <c r="C94" i="6"/>
  <c r="E93" i="6"/>
  <c r="D93" i="6"/>
  <c r="F93" i="6" s="1"/>
  <c r="C93" i="6"/>
  <c r="E92" i="6"/>
  <c r="D92" i="6"/>
  <c r="F92" i="6" s="1"/>
  <c r="C92" i="6"/>
  <c r="E91" i="6"/>
  <c r="D91" i="6"/>
  <c r="F91" i="6" s="1"/>
  <c r="C91" i="6"/>
  <c r="F90" i="6"/>
  <c r="E90" i="6"/>
  <c r="D90" i="6"/>
  <c r="C90" i="6"/>
  <c r="E89" i="6"/>
  <c r="D89" i="6"/>
  <c r="F89" i="6" s="1"/>
  <c r="C89" i="6"/>
  <c r="E88" i="6"/>
  <c r="D88" i="6"/>
  <c r="F88" i="6" s="1"/>
  <c r="C88" i="6"/>
  <c r="E87" i="6"/>
  <c r="D87" i="6"/>
  <c r="F87" i="6" s="1"/>
  <c r="C87" i="6"/>
  <c r="E86" i="6"/>
  <c r="D86" i="6"/>
  <c r="F86" i="6" s="1"/>
  <c r="C86" i="6"/>
  <c r="E85" i="6"/>
  <c r="D85" i="6"/>
  <c r="F85" i="6" s="1"/>
  <c r="C85" i="6"/>
  <c r="F84" i="6"/>
  <c r="E84" i="6"/>
  <c r="D84" i="6"/>
  <c r="C84" i="6"/>
  <c r="E83" i="6"/>
  <c r="D83" i="6"/>
  <c r="F83" i="6" s="1"/>
  <c r="C83" i="6"/>
  <c r="E82" i="6"/>
  <c r="D82" i="6"/>
  <c r="F82" i="6" s="1"/>
  <c r="C82" i="6"/>
  <c r="F81" i="6"/>
  <c r="E81" i="6"/>
  <c r="D81" i="6"/>
  <c r="C81" i="6"/>
  <c r="E80" i="6"/>
  <c r="D80" i="6"/>
  <c r="F80" i="6" s="1"/>
  <c r="C80" i="6"/>
  <c r="E79" i="6"/>
  <c r="D79" i="6"/>
  <c r="F79" i="6" s="1"/>
  <c r="C79" i="6"/>
  <c r="E78" i="6"/>
  <c r="D78" i="6"/>
  <c r="F78" i="6" s="1"/>
  <c r="C78" i="6"/>
  <c r="E77" i="6"/>
  <c r="D77" i="6"/>
  <c r="F77" i="6" s="1"/>
  <c r="C77" i="6"/>
  <c r="E76" i="6"/>
  <c r="D76" i="6"/>
  <c r="F76" i="6" s="1"/>
  <c r="C76" i="6"/>
  <c r="E75" i="6"/>
  <c r="D75" i="6"/>
  <c r="F75" i="6" s="1"/>
  <c r="C75" i="6"/>
  <c r="E74" i="6"/>
  <c r="D74" i="6"/>
  <c r="F74" i="6" s="1"/>
  <c r="C74" i="6"/>
  <c r="E73" i="6"/>
  <c r="D73" i="6"/>
  <c r="F73" i="6" s="1"/>
  <c r="C73" i="6"/>
  <c r="E72" i="6"/>
  <c r="D72" i="6"/>
  <c r="F72" i="6" s="1"/>
  <c r="C72" i="6"/>
  <c r="E71" i="6"/>
  <c r="D71" i="6"/>
  <c r="F71" i="6" s="1"/>
  <c r="C71" i="6"/>
  <c r="E70" i="6"/>
  <c r="D70" i="6"/>
  <c r="F70" i="6" s="1"/>
  <c r="C70" i="6"/>
  <c r="E69" i="6"/>
  <c r="D69" i="6"/>
  <c r="F69" i="6" s="1"/>
  <c r="C69" i="6"/>
  <c r="E68" i="6"/>
  <c r="D68" i="6"/>
  <c r="F68" i="6" s="1"/>
  <c r="C68" i="6"/>
  <c r="F67" i="6"/>
  <c r="E67" i="6"/>
  <c r="D67" i="6"/>
  <c r="C67" i="6"/>
  <c r="E66" i="6"/>
  <c r="D66" i="6"/>
  <c r="F66" i="6" s="1"/>
  <c r="C66" i="6"/>
  <c r="E65" i="6"/>
  <c r="D65" i="6"/>
  <c r="F65" i="6" s="1"/>
  <c r="C65" i="6"/>
  <c r="E64" i="6"/>
  <c r="D64" i="6"/>
  <c r="F64" i="6" s="1"/>
  <c r="C64" i="6"/>
  <c r="E63" i="6"/>
  <c r="D63" i="6"/>
  <c r="F63" i="6" s="1"/>
  <c r="C63" i="6"/>
  <c r="E62" i="6"/>
  <c r="D62" i="6"/>
  <c r="F62" i="6" s="1"/>
  <c r="C62" i="6"/>
  <c r="F61" i="6"/>
  <c r="E61" i="6"/>
  <c r="D61" i="6"/>
  <c r="C61" i="6"/>
  <c r="E60" i="6"/>
  <c r="D60" i="6"/>
  <c r="F60" i="6" s="1"/>
  <c r="C60" i="6"/>
  <c r="E59" i="6"/>
  <c r="D59" i="6"/>
  <c r="F59" i="6" s="1"/>
  <c r="C59" i="6"/>
  <c r="F58" i="6"/>
  <c r="E58" i="6"/>
  <c r="D58" i="6"/>
  <c r="C58" i="6"/>
  <c r="E57" i="6"/>
  <c r="D57" i="6"/>
  <c r="F57" i="6" s="1"/>
  <c r="C57" i="6"/>
  <c r="E56" i="6"/>
  <c r="D56" i="6"/>
  <c r="F56" i="6" s="1"/>
  <c r="C56" i="6"/>
  <c r="E55" i="6"/>
  <c r="D55" i="6"/>
  <c r="F55" i="6" s="1"/>
  <c r="C55" i="6"/>
  <c r="F54" i="6"/>
  <c r="E54" i="6"/>
  <c r="D54" i="6"/>
  <c r="C54" i="6"/>
  <c r="E53" i="6"/>
  <c r="D53" i="6"/>
  <c r="F53" i="6" s="1"/>
  <c r="C53" i="6"/>
  <c r="E52" i="6"/>
  <c r="D52" i="6"/>
  <c r="F52" i="6" s="1"/>
  <c r="C52" i="6"/>
  <c r="E51" i="6"/>
  <c r="D51" i="6"/>
  <c r="F51" i="6" s="1"/>
  <c r="C51" i="6"/>
  <c r="E50" i="6"/>
  <c r="D50" i="6"/>
  <c r="F50" i="6" s="1"/>
  <c r="C50" i="6"/>
  <c r="E49" i="6"/>
  <c r="D49" i="6"/>
  <c r="F49" i="6" s="1"/>
  <c r="C49" i="6"/>
  <c r="F48" i="6"/>
  <c r="E48" i="6"/>
  <c r="D48" i="6"/>
  <c r="C48" i="6"/>
  <c r="E47" i="6"/>
  <c r="D47" i="6"/>
  <c r="F47" i="6" s="1"/>
  <c r="C47" i="6"/>
  <c r="E46" i="6"/>
  <c r="D46" i="6"/>
  <c r="F46" i="6" s="1"/>
  <c r="C46" i="6"/>
  <c r="F45" i="6"/>
  <c r="E45" i="6"/>
  <c r="D45" i="6"/>
  <c r="C45" i="6"/>
  <c r="E44" i="6"/>
  <c r="D44" i="6"/>
  <c r="F44" i="6" s="1"/>
  <c r="C44" i="6"/>
  <c r="E43" i="6"/>
  <c r="D43" i="6"/>
  <c r="F43" i="6" s="1"/>
  <c r="C43" i="6"/>
  <c r="F42" i="6"/>
  <c r="E42" i="6"/>
  <c r="D42" i="6"/>
  <c r="C42" i="6"/>
  <c r="E41" i="6"/>
  <c r="D41" i="6"/>
  <c r="F41" i="6" s="1"/>
  <c r="C41" i="6"/>
  <c r="E40" i="6"/>
  <c r="D40" i="6"/>
  <c r="F40" i="6" s="1"/>
  <c r="C40" i="6"/>
  <c r="F39" i="6"/>
  <c r="E39" i="6"/>
  <c r="D39" i="6"/>
  <c r="C39" i="6"/>
  <c r="E38" i="6"/>
  <c r="D38" i="6"/>
  <c r="F38" i="6" s="1"/>
  <c r="C38" i="6"/>
  <c r="E37" i="6"/>
  <c r="D37" i="6"/>
  <c r="F37" i="6" s="1"/>
  <c r="C37" i="6"/>
  <c r="F36" i="6"/>
  <c r="E36" i="6"/>
  <c r="D36" i="6"/>
  <c r="C36" i="6"/>
  <c r="E35" i="6"/>
  <c r="D35" i="6"/>
  <c r="F35" i="6" s="1"/>
  <c r="C35" i="6"/>
  <c r="E34" i="6"/>
  <c r="D34" i="6"/>
  <c r="F34" i="6" s="1"/>
  <c r="C34" i="6"/>
  <c r="F33" i="6"/>
  <c r="E33" i="6"/>
  <c r="D33" i="6"/>
  <c r="C33" i="6"/>
  <c r="E32" i="6"/>
  <c r="D32" i="6"/>
  <c r="F32" i="6" s="1"/>
  <c r="C32" i="6"/>
  <c r="E31" i="6"/>
  <c r="D31" i="6"/>
  <c r="F31" i="6" s="1"/>
  <c r="C31" i="6"/>
  <c r="F30" i="6"/>
  <c r="E30" i="6"/>
  <c r="D30" i="6"/>
  <c r="C30" i="6"/>
  <c r="E29" i="6"/>
  <c r="D29" i="6"/>
  <c r="F29" i="6" s="1"/>
  <c r="C29" i="6"/>
  <c r="E28" i="6"/>
  <c r="D28" i="6"/>
  <c r="F28" i="6" s="1"/>
  <c r="C28" i="6"/>
  <c r="F27" i="6"/>
  <c r="E27" i="6"/>
  <c r="D27" i="6"/>
  <c r="C27" i="6"/>
  <c r="E26" i="6"/>
  <c r="D26" i="6"/>
  <c r="F26" i="6" s="1"/>
  <c r="C26" i="6"/>
  <c r="E25" i="6"/>
  <c r="D25" i="6"/>
  <c r="F25" i="6" s="1"/>
  <c r="C25" i="6"/>
  <c r="F24" i="6"/>
  <c r="E24" i="6"/>
  <c r="D24" i="6"/>
  <c r="C24" i="6"/>
  <c r="E23" i="6"/>
  <c r="D23" i="6"/>
  <c r="F23" i="6" s="1"/>
  <c r="C23" i="6"/>
  <c r="E22" i="6"/>
  <c r="D22" i="6"/>
  <c r="F22" i="6" s="1"/>
  <c r="C22" i="6"/>
  <c r="F21" i="6"/>
  <c r="E21" i="6"/>
  <c r="D21" i="6"/>
  <c r="C21" i="6"/>
  <c r="E20" i="6"/>
  <c r="D20" i="6"/>
  <c r="F20" i="6" s="1"/>
  <c r="C20" i="6"/>
  <c r="E19" i="6"/>
  <c r="D19" i="6"/>
  <c r="F19" i="6" s="1"/>
  <c r="C19" i="6"/>
  <c r="F18" i="6"/>
  <c r="E18" i="6"/>
  <c r="D18" i="6"/>
  <c r="C18" i="6"/>
  <c r="E17" i="6"/>
  <c r="D17" i="6"/>
  <c r="F17" i="6" s="1"/>
  <c r="C17" i="6"/>
  <c r="E16" i="6"/>
  <c r="D16" i="6"/>
  <c r="F16" i="6" s="1"/>
  <c r="C16" i="6"/>
  <c r="F15" i="6"/>
  <c r="E15" i="6"/>
  <c r="D15" i="6"/>
  <c r="C15" i="6"/>
  <c r="E14" i="6"/>
  <c r="D14" i="6"/>
  <c r="F14" i="6" s="1"/>
  <c r="C14" i="6"/>
  <c r="E13" i="6"/>
  <c r="D13" i="6"/>
  <c r="F13" i="6" s="1"/>
  <c r="C13" i="6"/>
  <c r="F12" i="6"/>
  <c r="E12" i="6"/>
  <c r="D12" i="6"/>
  <c r="C12" i="6"/>
  <c r="E11" i="6"/>
  <c r="D11" i="6"/>
  <c r="F11" i="6" s="1"/>
  <c r="C11" i="6"/>
  <c r="E10" i="6"/>
  <c r="D10" i="6"/>
  <c r="F10" i="6" s="1"/>
  <c r="C10" i="6"/>
  <c r="F9" i="6"/>
  <c r="E9" i="6"/>
  <c r="D9" i="6"/>
  <c r="C9" i="6"/>
  <c r="E8" i="6"/>
  <c r="D8" i="6"/>
  <c r="F8" i="6" s="1"/>
  <c r="C8" i="6"/>
  <c r="E7" i="6"/>
  <c r="D7" i="6"/>
  <c r="F7" i="6" s="1"/>
  <c r="C7" i="6"/>
  <c r="F6" i="6"/>
  <c r="E6" i="6"/>
  <c r="D6" i="6"/>
  <c r="C6" i="6"/>
  <c r="E5" i="6"/>
  <c r="D5" i="6"/>
  <c r="F5" i="6" s="1"/>
  <c r="C5" i="6"/>
  <c r="E4" i="6"/>
  <c r="D4" i="6"/>
  <c r="F4" i="6" s="1"/>
  <c r="C4" i="6"/>
  <c r="F3" i="6"/>
  <c r="E3" i="6"/>
  <c r="D3" i="6"/>
  <c r="C3" i="6"/>
  <c r="E2" i="6"/>
  <c r="D2" i="6"/>
  <c r="F2" i="6" s="1"/>
  <c r="C2" i="6"/>
  <c r="B305" i="4"/>
  <c r="D304" i="4"/>
  <c r="F304" i="4" s="1"/>
  <c r="H304" i="4" s="1"/>
  <c r="C304" i="4"/>
  <c r="E304" i="4" s="1"/>
  <c r="G304" i="4" s="1"/>
  <c r="E303" i="4"/>
  <c r="G303" i="4" s="1"/>
  <c r="D303" i="4"/>
  <c r="F303" i="4" s="1"/>
  <c r="H303" i="4" s="1"/>
  <c r="C303" i="4"/>
  <c r="D302" i="4"/>
  <c r="F302" i="4" s="1"/>
  <c r="H302" i="4" s="1"/>
  <c r="C302" i="4"/>
  <c r="E302" i="4" s="1"/>
  <c r="G302" i="4" s="1"/>
  <c r="D301" i="4"/>
  <c r="F301" i="4" s="1"/>
  <c r="H301" i="4" s="1"/>
  <c r="C301" i="4"/>
  <c r="E301" i="4" s="1"/>
  <c r="G301" i="4" s="1"/>
  <c r="D300" i="4"/>
  <c r="F300" i="4" s="1"/>
  <c r="H300" i="4" s="1"/>
  <c r="C300" i="4"/>
  <c r="E300" i="4" s="1"/>
  <c r="G300" i="4" s="1"/>
  <c r="D299" i="4"/>
  <c r="F299" i="4" s="1"/>
  <c r="H299" i="4" s="1"/>
  <c r="C299" i="4"/>
  <c r="E299" i="4" s="1"/>
  <c r="G299" i="4" s="1"/>
  <c r="D298" i="4"/>
  <c r="F298" i="4" s="1"/>
  <c r="H298" i="4" s="1"/>
  <c r="C298" i="4"/>
  <c r="E298" i="4" s="1"/>
  <c r="G298" i="4" s="1"/>
  <c r="D297" i="4"/>
  <c r="F297" i="4" s="1"/>
  <c r="H297" i="4" s="1"/>
  <c r="C297" i="4"/>
  <c r="E297" i="4" s="1"/>
  <c r="G297" i="4" s="1"/>
  <c r="F296" i="4"/>
  <c r="H296" i="4" s="1"/>
  <c r="D296" i="4"/>
  <c r="C296" i="4"/>
  <c r="E296" i="4" s="1"/>
  <c r="G296" i="4" s="1"/>
  <c r="F295" i="4"/>
  <c r="H295" i="4" s="1"/>
  <c r="D295" i="4"/>
  <c r="C295" i="4"/>
  <c r="E295" i="4" s="1"/>
  <c r="G295" i="4" s="1"/>
  <c r="F294" i="4"/>
  <c r="H294" i="4" s="1"/>
  <c r="E294" i="4"/>
  <c r="G294" i="4" s="1"/>
  <c r="D294" i="4"/>
  <c r="C294" i="4"/>
  <c r="G293" i="4"/>
  <c r="F293" i="4"/>
  <c r="H293" i="4" s="1"/>
  <c r="E293" i="4"/>
  <c r="D293" i="4"/>
  <c r="C293" i="4"/>
  <c r="E292" i="4"/>
  <c r="G292" i="4" s="1"/>
  <c r="D292" i="4"/>
  <c r="F292" i="4" s="1"/>
  <c r="H292" i="4" s="1"/>
  <c r="C292" i="4"/>
  <c r="E291" i="4"/>
  <c r="G291" i="4" s="1"/>
  <c r="D291" i="4"/>
  <c r="F291" i="4" s="1"/>
  <c r="H291" i="4" s="1"/>
  <c r="C291" i="4"/>
  <c r="D290" i="4"/>
  <c r="F290" i="4" s="1"/>
  <c r="H290" i="4" s="1"/>
  <c r="C290" i="4"/>
  <c r="E290" i="4" s="1"/>
  <c r="G290" i="4" s="1"/>
  <c r="D289" i="4"/>
  <c r="F289" i="4" s="1"/>
  <c r="H289" i="4" s="1"/>
  <c r="C289" i="4"/>
  <c r="E289" i="4" s="1"/>
  <c r="G289" i="4" s="1"/>
  <c r="D288" i="4"/>
  <c r="F288" i="4" s="1"/>
  <c r="H288" i="4" s="1"/>
  <c r="C288" i="4"/>
  <c r="E288" i="4" s="1"/>
  <c r="G288" i="4" s="1"/>
  <c r="E287" i="4"/>
  <c r="G287" i="4" s="1"/>
  <c r="D287" i="4"/>
  <c r="F287" i="4" s="1"/>
  <c r="H287" i="4" s="1"/>
  <c r="C287" i="4"/>
  <c r="D286" i="4"/>
  <c r="F286" i="4" s="1"/>
  <c r="H286" i="4" s="1"/>
  <c r="C286" i="4"/>
  <c r="E286" i="4" s="1"/>
  <c r="G286" i="4" s="1"/>
  <c r="D285" i="4"/>
  <c r="F285" i="4" s="1"/>
  <c r="H285" i="4" s="1"/>
  <c r="C285" i="4"/>
  <c r="E285" i="4" s="1"/>
  <c r="G285" i="4" s="1"/>
  <c r="F284" i="4"/>
  <c r="H284" i="4" s="1"/>
  <c r="D284" i="4"/>
  <c r="C284" i="4"/>
  <c r="E284" i="4" s="1"/>
  <c r="G284" i="4" s="1"/>
  <c r="F283" i="4"/>
  <c r="H283" i="4" s="1"/>
  <c r="D283" i="4"/>
  <c r="C283" i="4"/>
  <c r="E283" i="4" s="1"/>
  <c r="G283" i="4" s="1"/>
  <c r="F282" i="4"/>
  <c r="H282" i="4" s="1"/>
  <c r="E282" i="4"/>
  <c r="G282" i="4" s="1"/>
  <c r="D282" i="4"/>
  <c r="C282" i="4"/>
  <c r="F281" i="4"/>
  <c r="H281" i="4" s="1"/>
  <c r="E281" i="4"/>
  <c r="G281" i="4" s="1"/>
  <c r="D281" i="4"/>
  <c r="C281" i="4"/>
  <c r="F280" i="4"/>
  <c r="H280" i="4" s="1"/>
  <c r="E280" i="4"/>
  <c r="G280" i="4" s="1"/>
  <c r="D280" i="4"/>
  <c r="C280" i="4"/>
  <c r="E279" i="4"/>
  <c r="G279" i="4" s="1"/>
  <c r="D279" i="4"/>
  <c r="F279" i="4" s="1"/>
  <c r="H279" i="4" s="1"/>
  <c r="C279" i="4"/>
  <c r="E278" i="4"/>
  <c r="G278" i="4" s="1"/>
  <c r="D278" i="4"/>
  <c r="F278" i="4" s="1"/>
  <c r="H278" i="4" s="1"/>
  <c r="C278" i="4"/>
  <c r="D277" i="4"/>
  <c r="F277" i="4" s="1"/>
  <c r="H277" i="4" s="1"/>
  <c r="C277" i="4"/>
  <c r="E277" i="4" s="1"/>
  <c r="G277" i="4" s="1"/>
  <c r="D276" i="4"/>
  <c r="F276" i="4" s="1"/>
  <c r="H276" i="4" s="1"/>
  <c r="C276" i="4"/>
  <c r="E276" i="4" s="1"/>
  <c r="G276" i="4" s="1"/>
  <c r="D275" i="4"/>
  <c r="F275" i="4" s="1"/>
  <c r="H275" i="4" s="1"/>
  <c r="C275" i="4"/>
  <c r="E275" i="4" s="1"/>
  <c r="G275" i="4" s="1"/>
  <c r="D274" i="4"/>
  <c r="F274" i="4" s="1"/>
  <c r="H274" i="4" s="1"/>
  <c r="C274" i="4"/>
  <c r="E274" i="4" s="1"/>
  <c r="G274" i="4" s="1"/>
  <c r="H273" i="4"/>
  <c r="D273" i="4"/>
  <c r="F273" i="4" s="1"/>
  <c r="C273" i="4"/>
  <c r="E273" i="4" s="1"/>
  <c r="G273" i="4" s="1"/>
  <c r="F272" i="4"/>
  <c r="H272" i="4" s="1"/>
  <c r="D272" i="4"/>
  <c r="C272" i="4"/>
  <c r="E272" i="4" s="1"/>
  <c r="G272" i="4" s="1"/>
  <c r="F271" i="4"/>
  <c r="H271" i="4" s="1"/>
  <c r="D271" i="4"/>
  <c r="C271" i="4"/>
  <c r="E271" i="4" s="1"/>
  <c r="G271" i="4" s="1"/>
  <c r="F270" i="4"/>
  <c r="H270" i="4" s="1"/>
  <c r="E270" i="4"/>
  <c r="G270" i="4" s="1"/>
  <c r="D270" i="4"/>
  <c r="C270" i="4"/>
  <c r="F269" i="4"/>
  <c r="H269" i="4" s="1"/>
  <c r="E269" i="4"/>
  <c r="G269" i="4" s="1"/>
  <c r="D269" i="4"/>
  <c r="C269" i="4"/>
  <c r="E268" i="4"/>
  <c r="G268" i="4" s="1"/>
  <c r="D268" i="4"/>
  <c r="F268" i="4" s="1"/>
  <c r="H268" i="4" s="1"/>
  <c r="C268" i="4"/>
  <c r="G267" i="4"/>
  <c r="E267" i="4"/>
  <c r="D267" i="4"/>
  <c r="F267" i="4" s="1"/>
  <c r="H267" i="4" s="1"/>
  <c r="C267" i="4"/>
  <c r="D266" i="4"/>
  <c r="F266" i="4" s="1"/>
  <c r="H266" i="4" s="1"/>
  <c r="C266" i="4"/>
  <c r="E266" i="4" s="1"/>
  <c r="G266" i="4" s="1"/>
  <c r="E265" i="4"/>
  <c r="G265" i="4" s="1"/>
  <c r="D265" i="4"/>
  <c r="F265" i="4" s="1"/>
  <c r="H265" i="4" s="1"/>
  <c r="C265" i="4"/>
  <c r="F264" i="4"/>
  <c r="H264" i="4" s="1"/>
  <c r="D264" i="4"/>
  <c r="C264" i="4"/>
  <c r="E264" i="4" s="1"/>
  <c r="G264" i="4" s="1"/>
  <c r="D263" i="4"/>
  <c r="F263" i="4" s="1"/>
  <c r="H263" i="4" s="1"/>
  <c r="C263" i="4"/>
  <c r="E263" i="4" s="1"/>
  <c r="G263" i="4" s="1"/>
  <c r="E262" i="4"/>
  <c r="G262" i="4" s="1"/>
  <c r="D262" i="4"/>
  <c r="F262" i="4" s="1"/>
  <c r="H262" i="4" s="1"/>
  <c r="C262" i="4"/>
  <c r="H261" i="4"/>
  <c r="D261" i="4"/>
  <c r="F261" i="4" s="1"/>
  <c r="C261" i="4"/>
  <c r="E261" i="4" s="1"/>
  <c r="G261" i="4" s="1"/>
  <c r="D260" i="4"/>
  <c r="F260" i="4" s="1"/>
  <c r="H260" i="4" s="1"/>
  <c r="C260" i="4"/>
  <c r="E260" i="4" s="1"/>
  <c r="G260" i="4" s="1"/>
  <c r="F259" i="4"/>
  <c r="H259" i="4" s="1"/>
  <c r="D259" i="4"/>
  <c r="C259" i="4"/>
  <c r="E259" i="4" s="1"/>
  <c r="G259" i="4" s="1"/>
  <c r="H258" i="4"/>
  <c r="F258" i="4"/>
  <c r="E258" i="4"/>
  <c r="G258" i="4" s="1"/>
  <c r="D258" i="4"/>
  <c r="C258" i="4"/>
  <c r="F257" i="4"/>
  <c r="H257" i="4" s="1"/>
  <c r="E257" i="4"/>
  <c r="G257" i="4" s="1"/>
  <c r="D257" i="4"/>
  <c r="C257" i="4"/>
  <c r="F256" i="4"/>
  <c r="H256" i="4" s="1"/>
  <c r="E256" i="4"/>
  <c r="G256" i="4" s="1"/>
  <c r="D256" i="4"/>
  <c r="C256" i="4"/>
  <c r="E255" i="4"/>
  <c r="G255" i="4" s="1"/>
  <c r="D255" i="4"/>
  <c r="F255" i="4" s="1"/>
  <c r="H255" i="4" s="1"/>
  <c r="C255" i="4"/>
  <c r="D254" i="4"/>
  <c r="F254" i="4" s="1"/>
  <c r="H254" i="4" s="1"/>
  <c r="C254" i="4"/>
  <c r="E254" i="4" s="1"/>
  <c r="G254" i="4" s="1"/>
  <c r="D253" i="4"/>
  <c r="F253" i="4" s="1"/>
  <c r="H253" i="4" s="1"/>
  <c r="C253" i="4"/>
  <c r="E253" i="4" s="1"/>
  <c r="G253" i="4" s="1"/>
  <c r="D252" i="4"/>
  <c r="F252" i="4" s="1"/>
  <c r="H252" i="4" s="1"/>
  <c r="C252" i="4"/>
  <c r="E252" i="4" s="1"/>
  <c r="G252" i="4" s="1"/>
  <c r="F251" i="4"/>
  <c r="H251" i="4" s="1"/>
  <c r="D251" i="4"/>
  <c r="C251" i="4"/>
  <c r="E251" i="4" s="1"/>
  <c r="G251" i="4" s="1"/>
  <c r="D250" i="4"/>
  <c r="F250" i="4" s="1"/>
  <c r="H250" i="4" s="1"/>
  <c r="C250" i="4"/>
  <c r="E250" i="4" s="1"/>
  <c r="G250" i="4" s="1"/>
  <c r="H249" i="4"/>
  <c r="G249" i="4"/>
  <c r="E249" i="4"/>
  <c r="D249" i="4"/>
  <c r="F249" i="4" s="1"/>
  <c r="C249" i="4"/>
  <c r="F248" i="4"/>
  <c r="H248" i="4" s="1"/>
  <c r="D248" i="4"/>
  <c r="C248" i="4"/>
  <c r="E248" i="4" s="1"/>
  <c r="G248" i="4" s="1"/>
  <c r="D247" i="4"/>
  <c r="F247" i="4" s="1"/>
  <c r="H247" i="4" s="1"/>
  <c r="C247" i="4"/>
  <c r="E247" i="4" s="1"/>
  <c r="G247" i="4" s="1"/>
  <c r="F246" i="4"/>
  <c r="H246" i="4" s="1"/>
  <c r="E246" i="4"/>
  <c r="G246" i="4" s="1"/>
  <c r="D246" i="4"/>
  <c r="C246" i="4"/>
  <c r="F245" i="4"/>
  <c r="H245" i="4" s="1"/>
  <c r="D245" i="4"/>
  <c r="C245" i="4"/>
  <c r="E245" i="4" s="1"/>
  <c r="G245" i="4" s="1"/>
  <c r="E244" i="4"/>
  <c r="G244" i="4" s="1"/>
  <c r="D244" i="4"/>
  <c r="F244" i="4" s="1"/>
  <c r="H244" i="4" s="1"/>
  <c r="C244" i="4"/>
  <c r="E243" i="4"/>
  <c r="G243" i="4" s="1"/>
  <c r="D243" i="4"/>
  <c r="F243" i="4" s="1"/>
  <c r="H243" i="4" s="1"/>
  <c r="C243" i="4"/>
  <c r="H242" i="4"/>
  <c r="D242" i="4"/>
  <c r="F242" i="4" s="1"/>
  <c r="C242" i="4"/>
  <c r="E242" i="4" s="1"/>
  <c r="G242" i="4" s="1"/>
  <c r="F241" i="4"/>
  <c r="H241" i="4" s="1"/>
  <c r="E241" i="4"/>
  <c r="G241" i="4" s="1"/>
  <c r="D241" i="4"/>
  <c r="C241" i="4"/>
  <c r="F240" i="4"/>
  <c r="H240" i="4" s="1"/>
  <c r="D240" i="4"/>
  <c r="C240" i="4"/>
  <c r="E240" i="4" s="1"/>
  <c r="G240" i="4" s="1"/>
  <c r="E239" i="4"/>
  <c r="G239" i="4" s="1"/>
  <c r="D239" i="4"/>
  <c r="F239" i="4" s="1"/>
  <c r="H239" i="4" s="1"/>
  <c r="C239" i="4"/>
  <c r="E238" i="4"/>
  <c r="G238" i="4" s="1"/>
  <c r="D238" i="4"/>
  <c r="F238" i="4" s="1"/>
  <c r="H238" i="4" s="1"/>
  <c r="C238" i="4"/>
  <c r="D237" i="4"/>
  <c r="F237" i="4" s="1"/>
  <c r="H237" i="4" s="1"/>
  <c r="C237" i="4"/>
  <c r="E237" i="4" s="1"/>
  <c r="G237" i="4" s="1"/>
  <c r="D236" i="4"/>
  <c r="F236" i="4" s="1"/>
  <c r="H236" i="4" s="1"/>
  <c r="C236" i="4"/>
  <c r="E236" i="4" s="1"/>
  <c r="G236" i="4" s="1"/>
  <c r="G235" i="4"/>
  <c r="F235" i="4"/>
  <c r="H235" i="4" s="1"/>
  <c r="D235" i="4"/>
  <c r="C235" i="4"/>
  <c r="E235" i="4" s="1"/>
  <c r="F234" i="4"/>
  <c r="H234" i="4" s="1"/>
  <c r="D234" i="4"/>
  <c r="C234" i="4"/>
  <c r="E234" i="4" s="1"/>
  <c r="G234" i="4" s="1"/>
  <c r="F233" i="4"/>
  <c r="H233" i="4" s="1"/>
  <c r="E233" i="4"/>
  <c r="G233" i="4" s="1"/>
  <c r="D233" i="4"/>
  <c r="C233" i="4"/>
  <c r="F232" i="4"/>
  <c r="H232" i="4" s="1"/>
  <c r="E232" i="4"/>
  <c r="G232" i="4" s="1"/>
  <c r="D232" i="4"/>
  <c r="C232" i="4"/>
  <c r="E231" i="4"/>
  <c r="G231" i="4" s="1"/>
  <c r="D231" i="4"/>
  <c r="F231" i="4" s="1"/>
  <c r="H231" i="4" s="1"/>
  <c r="C231" i="4"/>
  <c r="D230" i="4"/>
  <c r="F230" i="4" s="1"/>
  <c r="H230" i="4" s="1"/>
  <c r="C230" i="4"/>
  <c r="E230" i="4" s="1"/>
  <c r="G230" i="4" s="1"/>
  <c r="G229" i="4"/>
  <c r="D229" i="4"/>
  <c r="F229" i="4" s="1"/>
  <c r="H229" i="4" s="1"/>
  <c r="C229" i="4"/>
  <c r="E229" i="4" s="1"/>
  <c r="D228" i="4"/>
  <c r="F228" i="4" s="1"/>
  <c r="H228" i="4" s="1"/>
  <c r="C228" i="4"/>
  <c r="E228" i="4" s="1"/>
  <c r="G228" i="4" s="1"/>
  <c r="F227" i="4"/>
  <c r="H227" i="4" s="1"/>
  <c r="D227" i="4"/>
  <c r="C227" i="4"/>
  <c r="E227" i="4" s="1"/>
  <c r="G227" i="4" s="1"/>
  <c r="D226" i="4"/>
  <c r="F226" i="4" s="1"/>
  <c r="H226" i="4" s="1"/>
  <c r="C226" i="4"/>
  <c r="E226" i="4" s="1"/>
  <c r="G226" i="4" s="1"/>
  <c r="E225" i="4"/>
  <c r="G225" i="4" s="1"/>
  <c r="D225" i="4"/>
  <c r="F225" i="4" s="1"/>
  <c r="H225" i="4" s="1"/>
  <c r="C225" i="4"/>
  <c r="F224" i="4"/>
  <c r="H224" i="4" s="1"/>
  <c r="D224" i="4"/>
  <c r="C224" i="4"/>
  <c r="E224" i="4" s="1"/>
  <c r="G224" i="4" s="1"/>
  <c r="G223" i="4"/>
  <c r="F223" i="4"/>
  <c r="H223" i="4" s="1"/>
  <c r="D223" i="4"/>
  <c r="C223" i="4"/>
  <c r="E223" i="4" s="1"/>
  <c r="F222" i="4"/>
  <c r="H222" i="4" s="1"/>
  <c r="E222" i="4"/>
  <c r="G222" i="4" s="1"/>
  <c r="D222" i="4"/>
  <c r="C222" i="4"/>
  <c r="F221" i="4"/>
  <c r="H221" i="4" s="1"/>
  <c r="D221" i="4"/>
  <c r="C221" i="4"/>
  <c r="E221" i="4" s="1"/>
  <c r="G221" i="4" s="1"/>
  <c r="E220" i="4"/>
  <c r="G220" i="4" s="1"/>
  <c r="D220" i="4"/>
  <c r="F220" i="4" s="1"/>
  <c r="H220" i="4" s="1"/>
  <c r="C220" i="4"/>
  <c r="E219" i="4"/>
  <c r="G219" i="4" s="1"/>
  <c r="D219" i="4"/>
  <c r="F219" i="4" s="1"/>
  <c r="H219" i="4" s="1"/>
  <c r="C219" i="4"/>
  <c r="D218" i="4"/>
  <c r="F218" i="4" s="1"/>
  <c r="H218" i="4" s="1"/>
  <c r="C218" i="4"/>
  <c r="E218" i="4" s="1"/>
  <c r="G218" i="4" s="1"/>
  <c r="F217" i="4"/>
  <c r="H217" i="4" s="1"/>
  <c r="E217" i="4"/>
  <c r="G217" i="4" s="1"/>
  <c r="D217" i="4"/>
  <c r="C217" i="4"/>
  <c r="F216" i="4"/>
  <c r="H216" i="4" s="1"/>
  <c r="D216" i="4"/>
  <c r="C216" i="4"/>
  <c r="E216" i="4" s="1"/>
  <c r="G216" i="4" s="1"/>
  <c r="D215" i="4"/>
  <c r="F215" i="4" s="1"/>
  <c r="H215" i="4" s="1"/>
  <c r="C215" i="4"/>
  <c r="E215" i="4" s="1"/>
  <c r="G215" i="4" s="1"/>
  <c r="H214" i="4"/>
  <c r="E214" i="4"/>
  <c r="G214" i="4" s="1"/>
  <c r="D214" i="4"/>
  <c r="F214" i="4" s="1"/>
  <c r="C214" i="4"/>
  <c r="D213" i="4"/>
  <c r="F213" i="4" s="1"/>
  <c r="H213" i="4" s="1"/>
  <c r="C213" i="4"/>
  <c r="E213" i="4" s="1"/>
  <c r="G213" i="4" s="1"/>
  <c r="F212" i="4"/>
  <c r="H212" i="4" s="1"/>
  <c r="D212" i="4"/>
  <c r="C212" i="4"/>
  <c r="E212" i="4" s="1"/>
  <c r="G212" i="4" s="1"/>
  <c r="G211" i="4"/>
  <c r="F211" i="4"/>
  <c r="H211" i="4" s="1"/>
  <c r="D211" i="4"/>
  <c r="C211" i="4"/>
  <c r="E211" i="4" s="1"/>
  <c r="F210" i="4"/>
  <c r="H210" i="4" s="1"/>
  <c r="D210" i="4"/>
  <c r="C210" i="4"/>
  <c r="E210" i="4" s="1"/>
  <c r="G210" i="4" s="1"/>
  <c r="F209" i="4"/>
  <c r="H209" i="4" s="1"/>
  <c r="E209" i="4"/>
  <c r="G209" i="4" s="1"/>
  <c r="D209" i="4"/>
  <c r="C209" i="4"/>
  <c r="H208" i="4"/>
  <c r="F208" i="4"/>
  <c r="E208" i="4"/>
  <c r="G208" i="4" s="1"/>
  <c r="D208" i="4"/>
  <c r="C208" i="4"/>
  <c r="E207" i="4"/>
  <c r="G207" i="4" s="1"/>
  <c r="D207" i="4"/>
  <c r="F207" i="4" s="1"/>
  <c r="H207" i="4" s="1"/>
  <c r="C207" i="4"/>
  <c r="E206" i="4"/>
  <c r="G206" i="4" s="1"/>
  <c r="D206" i="4"/>
  <c r="F206" i="4" s="1"/>
  <c r="H206" i="4" s="1"/>
  <c r="C206" i="4"/>
  <c r="D205" i="4"/>
  <c r="F205" i="4" s="1"/>
  <c r="H205" i="4" s="1"/>
  <c r="C205" i="4"/>
  <c r="E205" i="4" s="1"/>
  <c r="G205" i="4" s="1"/>
  <c r="D204" i="4"/>
  <c r="F204" i="4" s="1"/>
  <c r="H204" i="4" s="1"/>
  <c r="C204" i="4"/>
  <c r="E204" i="4" s="1"/>
  <c r="G204" i="4" s="1"/>
  <c r="F203" i="4"/>
  <c r="H203" i="4" s="1"/>
  <c r="D203" i="4"/>
  <c r="C203" i="4"/>
  <c r="E203" i="4" s="1"/>
  <c r="G203" i="4" s="1"/>
  <c r="D202" i="4"/>
  <c r="F202" i="4" s="1"/>
  <c r="H202" i="4" s="1"/>
  <c r="C202" i="4"/>
  <c r="E202" i="4" s="1"/>
  <c r="G202" i="4" s="1"/>
  <c r="E201" i="4"/>
  <c r="G201" i="4" s="1"/>
  <c r="D201" i="4"/>
  <c r="F201" i="4" s="1"/>
  <c r="H201" i="4" s="1"/>
  <c r="C201" i="4"/>
  <c r="F200" i="4"/>
  <c r="H200" i="4" s="1"/>
  <c r="D200" i="4"/>
  <c r="C200" i="4"/>
  <c r="E200" i="4" s="1"/>
  <c r="G200" i="4" s="1"/>
  <c r="G199" i="4"/>
  <c r="F199" i="4"/>
  <c r="H199" i="4" s="1"/>
  <c r="D199" i="4"/>
  <c r="C199" i="4"/>
  <c r="E199" i="4" s="1"/>
  <c r="F198" i="4"/>
  <c r="H198" i="4" s="1"/>
  <c r="E198" i="4"/>
  <c r="G198" i="4" s="1"/>
  <c r="D198" i="4"/>
  <c r="C198" i="4"/>
  <c r="F197" i="4"/>
  <c r="H197" i="4" s="1"/>
  <c r="E197" i="4"/>
  <c r="G197" i="4" s="1"/>
  <c r="D197" i="4"/>
  <c r="C197" i="4"/>
  <c r="E196" i="4"/>
  <c r="G196" i="4" s="1"/>
  <c r="D196" i="4"/>
  <c r="F196" i="4" s="1"/>
  <c r="H196" i="4" s="1"/>
  <c r="C196" i="4"/>
  <c r="E195" i="4"/>
  <c r="G195" i="4" s="1"/>
  <c r="D195" i="4"/>
  <c r="F195" i="4" s="1"/>
  <c r="H195" i="4" s="1"/>
  <c r="C195" i="4"/>
  <c r="D194" i="4"/>
  <c r="F194" i="4" s="1"/>
  <c r="H194" i="4" s="1"/>
  <c r="C194" i="4"/>
  <c r="E194" i="4" s="1"/>
  <c r="G194" i="4" s="1"/>
  <c r="F193" i="4"/>
  <c r="H193" i="4" s="1"/>
  <c r="D193" i="4"/>
  <c r="C193" i="4"/>
  <c r="E193" i="4" s="1"/>
  <c r="G193" i="4" s="1"/>
  <c r="F192" i="4"/>
  <c r="H192" i="4" s="1"/>
  <c r="D192" i="4"/>
  <c r="C192" i="4"/>
  <c r="E192" i="4" s="1"/>
  <c r="G192" i="4" s="1"/>
  <c r="D191" i="4"/>
  <c r="F191" i="4" s="1"/>
  <c r="H191" i="4" s="1"/>
  <c r="C191" i="4"/>
  <c r="E191" i="4" s="1"/>
  <c r="G191" i="4" s="1"/>
  <c r="H190" i="4"/>
  <c r="E190" i="4"/>
  <c r="G190" i="4" s="1"/>
  <c r="D190" i="4"/>
  <c r="F190" i="4" s="1"/>
  <c r="C190" i="4"/>
  <c r="D189" i="4"/>
  <c r="F189" i="4" s="1"/>
  <c r="H189" i="4" s="1"/>
  <c r="C189" i="4"/>
  <c r="E189" i="4" s="1"/>
  <c r="G189" i="4" s="1"/>
  <c r="D188" i="4"/>
  <c r="F188" i="4" s="1"/>
  <c r="H188" i="4" s="1"/>
  <c r="C188" i="4"/>
  <c r="E188" i="4" s="1"/>
  <c r="G188" i="4" s="1"/>
  <c r="G187" i="4"/>
  <c r="F187" i="4"/>
  <c r="H187" i="4" s="1"/>
  <c r="D187" i="4"/>
  <c r="C187" i="4"/>
  <c r="E187" i="4" s="1"/>
  <c r="F186" i="4"/>
  <c r="H186" i="4" s="1"/>
  <c r="E186" i="4"/>
  <c r="G186" i="4" s="1"/>
  <c r="D186" i="4"/>
  <c r="C186" i="4"/>
  <c r="F185" i="4"/>
  <c r="H185" i="4" s="1"/>
  <c r="E185" i="4"/>
  <c r="G185" i="4" s="1"/>
  <c r="D185" i="4"/>
  <c r="C185" i="4"/>
  <c r="E184" i="4"/>
  <c r="G184" i="4" s="1"/>
  <c r="D184" i="4"/>
  <c r="F184" i="4" s="1"/>
  <c r="H184" i="4" s="1"/>
  <c r="C184" i="4"/>
  <c r="E183" i="4"/>
  <c r="G183" i="4" s="1"/>
  <c r="D183" i="4"/>
  <c r="F183" i="4" s="1"/>
  <c r="H183" i="4" s="1"/>
  <c r="C183" i="4"/>
  <c r="E182" i="4"/>
  <c r="G182" i="4" s="1"/>
  <c r="D182" i="4"/>
  <c r="F182" i="4" s="1"/>
  <c r="H182" i="4" s="1"/>
  <c r="C182" i="4"/>
  <c r="D181" i="4"/>
  <c r="F181" i="4" s="1"/>
  <c r="H181" i="4" s="1"/>
  <c r="C181" i="4"/>
  <c r="E181" i="4" s="1"/>
  <c r="G181" i="4" s="1"/>
  <c r="D180" i="4"/>
  <c r="F180" i="4" s="1"/>
  <c r="H180" i="4" s="1"/>
  <c r="C180" i="4"/>
  <c r="E180" i="4" s="1"/>
  <c r="G180" i="4" s="1"/>
  <c r="F179" i="4"/>
  <c r="H179" i="4" s="1"/>
  <c r="D179" i="4"/>
  <c r="C179" i="4"/>
  <c r="E179" i="4" s="1"/>
  <c r="G179" i="4" s="1"/>
  <c r="D178" i="4"/>
  <c r="F178" i="4" s="1"/>
  <c r="H178" i="4" s="1"/>
  <c r="C178" i="4"/>
  <c r="E178" i="4" s="1"/>
  <c r="G178" i="4" s="1"/>
  <c r="E177" i="4"/>
  <c r="G177" i="4" s="1"/>
  <c r="D177" i="4"/>
  <c r="F177" i="4" s="1"/>
  <c r="H177" i="4" s="1"/>
  <c r="C177" i="4"/>
  <c r="F176" i="4"/>
  <c r="H176" i="4" s="1"/>
  <c r="D176" i="4"/>
  <c r="C176" i="4"/>
  <c r="E176" i="4" s="1"/>
  <c r="G176" i="4" s="1"/>
  <c r="D175" i="4"/>
  <c r="F175" i="4" s="1"/>
  <c r="H175" i="4" s="1"/>
  <c r="C175" i="4"/>
  <c r="E175" i="4" s="1"/>
  <c r="G175" i="4" s="1"/>
  <c r="F174" i="4"/>
  <c r="H174" i="4" s="1"/>
  <c r="E174" i="4"/>
  <c r="G174" i="4" s="1"/>
  <c r="D174" i="4"/>
  <c r="C174" i="4"/>
  <c r="F173" i="4"/>
  <c r="H173" i="4" s="1"/>
  <c r="E173" i="4"/>
  <c r="G173" i="4" s="1"/>
  <c r="D173" i="4"/>
  <c r="C173" i="4"/>
  <c r="E172" i="4"/>
  <c r="G172" i="4" s="1"/>
  <c r="D172" i="4"/>
  <c r="F172" i="4" s="1"/>
  <c r="H172" i="4" s="1"/>
  <c r="C172" i="4"/>
  <c r="E171" i="4"/>
  <c r="G171" i="4" s="1"/>
  <c r="D171" i="4"/>
  <c r="F171" i="4" s="1"/>
  <c r="H171" i="4" s="1"/>
  <c r="C171" i="4"/>
  <c r="D170" i="4"/>
  <c r="F170" i="4" s="1"/>
  <c r="H170" i="4" s="1"/>
  <c r="C170" i="4"/>
  <c r="E170" i="4" s="1"/>
  <c r="G170" i="4" s="1"/>
  <c r="D169" i="4"/>
  <c r="F169" i="4" s="1"/>
  <c r="H169" i="4" s="1"/>
  <c r="C169" i="4"/>
  <c r="E169" i="4" s="1"/>
  <c r="G169" i="4" s="1"/>
  <c r="F168" i="4"/>
  <c r="H168" i="4" s="1"/>
  <c r="D168" i="4"/>
  <c r="C168" i="4"/>
  <c r="E168" i="4" s="1"/>
  <c r="G168" i="4" s="1"/>
  <c r="D167" i="4"/>
  <c r="F167" i="4" s="1"/>
  <c r="H167" i="4" s="1"/>
  <c r="C167" i="4"/>
  <c r="E167" i="4" s="1"/>
  <c r="G167" i="4" s="1"/>
  <c r="H166" i="4"/>
  <c r="E166" i="4"/>
  <c r="G166" i="4" s="1"/>
  <c r="D166" i="4"/>
  <c r="F166" i="4" s="1"/>
  <c r="C166" i="4"/>
  <c r="D165" i="4"/>
  <c r="F165" i="4" s="1"/>
  <c r="H165" i="4" s="1"/>
  <c r="C165" i="4"/>
  <c r="E165" i="4" s="1"/>
  <c r="G165" i="4" s="1"/>
  <c r="D164" i="4"/>
  <c r="F164" i="4" s="1"/>
  <c r="H164" i="4" s="1"/>
  <c r="C164" i="4"/>
  <c r="E164" i="4" s="1"/>
  <c r="G164" i="4" s="1"/>
  <c r="G163" i="4"/>
  <c r="F163" i="4"/>
  <c r="H163" i="4" s="1"/>
  <c r="D163" i="4"/>
  <c r="C163" i="4"/>
  <c r="E163" i="4" s="1"/>
  <c r="F162" i="4"/>
  <c r="H162" i="4" s="1"/>
  <c r="D162" i="4"/>
  <c r="C162" i="4"/>
  <c r="E162" i="4" s="1"/>
  <c r="G162" i="4" s="1"/>
  <c r="F161" i="4"/>
  <c r="H161" i="4" s="1"/>
  <c r="E161" i="4"/>
  <c r="G161" i="4" s="1"/>
  <c r="D161" i="4"/>
  <c r="C161" i="4"/>
  <c r="E160" i="4"/>
  <c r="G160" i="4" s="1"/>
  <c r="D160" i="4"/>
  <c r="F160" i="4" s="1"/>
  <c r="H160" i="4" s="1"/>
  <c r="C160" i="4"/>
  <c r="E159" i="4"/>
  <c r="G159" i="4" s="1"/>
  <c r="D159" i="4"/>
  <c r="F159" i="4" s="1"/>
  <c r="H159" i="4" s="1"/>
  <c r="C159" i="4"/>
  <c r="F158" i="4"/>
  <c r="H158" i="4" s="1"/>
  <c r="E158" i="4"/>
  <c r="G158" i="4" s="1"/>
  <c r="D158" i="4"/>
  <c r="C158" i="4"/>
  <c r="D157" i="4"/>
  <c r="F157" i="4" s="1"/>
  <c r="H157" i="4" s="1"/>
  <c r="C157" i="4"/>
  <c r="E157" i="4" s="1"/>
  <c r="G157" i="4" s="1"/>
  <c r="D156" i="4"/>
  <c r="F156" i="4" s="1"/>
  <c r="H156" i="4" s="1"/>
  <c r="C156" i="4"/>
  <c r="E156" i="4" s="1"/>
  <c r="G156" i="4" s="1"/>
  <c r="F155" i="4"/>
  <c r="H155" i="4" s="1"/>
  <c r="D155" i="4"/>
  <c r="C155" i="4"/>
  <c r="E155" i="4" s="1"/>
  <c r="G155" i="4" s="1"/>
  <c r="H154" i="4"/>
  <c r="D154" i="4"/>
  <c r="F154" i="4" s="1"/>
  <c r="C154" i="4"/>
  <c r="E154" i="4" s="1"/>
  <c r="G154" i="4" s="1"/>
  <c r="E153" i="4"/>
  <c r="G153" i="4" s="1"/>
  <c r="D153" i="4"/>
  <c r="F153" i="4" s="1"/>
  <c r="H153" i="4" s="1"/>
  <c r="C153" i="4"/>
  <c r="F152" i="4"/>
  <c r="H152" i="4" s="1"/>
  <c r="D152" i="4"/>
  <c r="C152" i="4"/>
  <c r="E152" i="4" s="1"/>
  <c r="G152" i="4" s="1"/>
  <c r="D151" i="4"/>
  <c r="F151" i="4" s="1"/>
  <c r="H151" i="4" s="1"/>
  <c r="C151" i="4"/>
  <c r="E151" i="4" s="1"/>
  <c r="G151" i="4" s="1"/>
  <c r="F150" i="4"/>
  <c r="H150" i="4" s="1"/>
  <c r="E150" i="4"/>
  <c r="G150" i="4" s="1"/>
  <c r="D150" i="4"/>
  <c r="C150" i="4"/>
  <c r="G149" i="4"/>
  <c r="F149" i="4"/>
  <c r="H149" i="4" s="1"/>
  <c r="E149" i="4"/>
  <c r="D149" i="4"/>
  <c r="C149" i="4"/>
  <c r="E148" i="4"/>
  <c r="G148" i="4" s="1"/>
  <c r="D148" i="4"/>
  <c r="F148" i="4" s="1"/>
  <c r="H148" i="4" s="1"/>
  <c r="C148" i="4"/>
  <c r="E147" i="4"/>
  <c r="G147" i="4" s="1"/>
  <c r="D147" i="4"/>
  <c r="F147" i="4" s="1"/>
  <c r="H147" i="4" s="1"/>
  <c r="C147" i="4"/>
  <c r="H146" i="4"/>
  <c r="D146" i="4"/>
  <c r="F146" i="4" s="1"/>
  <c r="C146" i="4"/>
  <c r="E146" i="4" s="1"/>
  <c r="G146" i="4" s="1"/>
  <c r="D145" i="4"/>
  <c r="F145" i="4" s="1"/>
  <c r="H145" i="4" s="1"/>
  <c r="C145" i="4"/>
  <c r="E145" i="4" s="1"/>
  <c r="G145" i="4" s="1"/>
  <c r="F144" i="4"/>
  <c r="H144" i="4" s="1"/>
  <c r="D144" i="4"/>
  <c r="C144" i="4"/>
  <c r="E144" i="4" s="1"/>
  <c r="G144" i="4" s="1"/>
  <c r="E143" i="4"/>
  <c r="G143" i="4" s="1"/>
  <c r="D143" i="4"/>
  <c r="F143" i="4" s="1"/>
  <c r="H143" i="4" s="1"/>
  <c r="C143" i="4"/>
  <c r="E142" i="4"/>
  <c r="G142" i="4" s="1"/>
  <c r="D142" i="4"/>
  <c r="F142" i="4" s="1"/>
  <c r="H142" i="4" s="1"/>
  <c r="C142" i="4"/>
  <c r="D141" i="4"/>
  <c r="F141" i="4" s="1"/>
  <c r="H141" i="4" s="1"/>
  <c r="C141" i="4"/>
  <c r="E141" i="4" s="1"/>
  <c r="G141" i="4" s="1"/>
  <c r="D140" i="4"/>
  <c r="F140" i="4" s="1"/>
  <c r="H140" i="4" s="1"/>
  <c r="C140" i="4"/>
  <c r="E140" i="4" s="1"/>
  <c r="G140" i="4" s="1"/>
  <c r="F139" i="4"/>
  <c r="H139" i="4" s="1"/>
  <c r="D139" i="4"/>
  <c r="C139" i="4"/>
  <c r="E139" i="4" s="1"/>
  <c r="G139" i="4" s="1"/>
  <c r="H138" i="4"/>
  <c r="F138" i="4"/>
  <c r="D138" i="4"/>
  <c r="C138" i="4"/>
  <c r="E138" i="4" s="1"/>
  <c r="G138" i="4" s="1"/>
  <c r="F137" i="4"/>
  <c r="H137" i="4" s="1"/>
  <c r="E137" i="4"/>
  <c r="G137" i="4" s="1"/>
  <c r="D137" i="4"/>
  <c r="C137" i="4"/>
  <c r="E136" i="4"/>
  <c r="G136" i="4" s="1"/>
  <c r="D136" i="4"/>
  <c r="F136" i="4" s="1"/>
  <c r="H136" i="4" s="1"/>
  <c r="C136" i="4"/>
  <c r="H135" i="4"/>
  <c r="E135" i="4"/>
  <c r="G135" i="4" s="1"/>
  <c r="D135" i="4"/>
  <c r="F135" i="4" s="1"/>
  <c r="C135" i="4"/>
  <c r="G134" i="4"/>
  <c r="F134" i="4"/>
  <c r="H134" i="4" s="1"/>
  <c r="E134" i="4"/>
  <c r="D134" i="4"/>
  <c r="C134" i="4"/>
  <c r="E133" i="4"/>
  <c r="G133" i="4" s="1"/>
  <c r="D133" i="4"/>
  <c r="F133" i="4" s="1"/>
  <c r="H133" i="4" s="1"/>
  <c r="C133" i="4"/>
  <c r="E132" i="4"/>
  <c r="G132" i="4" s="1"/>
  <c r="D132" i="4"/>
  <c r="F132" i="4" s="1"/>
  <c r="H132" i="4" s="1"/>
  <c r="C132" i="4"/>
  <c r="E131" i="4"/>
  <c r="G131" i="4" s="1"/>
  <c r="D131" i="4"/>
  <c r="F131" i="4" s="1"/>
  <c r="H131" i="4" s="1"/>
  <c r="C131" i="4"/>
  <c r="E130" i="4"/>
  <c r="G130" i="4" s="1"/>
  <c r="D130" i="4"/>
  <c r="F130" i="4" s="1"/>
  <c r="H130" i="4" s="1"/>
  <c r="C130" i="4"/>
  <c r="E129" i="4"/>
  <c r="G129" i="4" s="1"/>
  <c r="D129" i="4"/>
  <c r="F129" i="4" s="1"/>
  <c r="H129" i="4" s="1"/>
  <c r="C129" i="4"/>
  <c r="E128" i="4"/>
  <c r="G128" i="4" s="1"/>
  <c r="D128" i="4"/>
  <c r="F128" i="4" s="1"/>
  <c r="H128" i="4" s="1"/>
  <c r="C128" i="4"/>
  <c r="E127" i="4"/>
  <c r="G127" i="4" s="1"/>
  <c r="D127" i="4"/>
  <c r="F127" i="4" s="1"/>
  <c r="H127" i="4" s="1"/>
  <c r="C127" i="4"/>
  <c r="G126" i="4"/>
  <c r="F126" i="4"/>
  <c r="H126" i="4" s="1"/>
  <c r="E126" i="4"/>
  <c r="D126" i="4"/>
  <c r="C126" i="4"/>
  <c r="E125" i="4"/>
  <c r="G125" i="4" s="1"/>
  <c r="D125" i="4"/>
  <c r="F125" i="4" s="1"/>
  <c r="H125" i="4" s="1"/>
  <c r="C125" i="4"/>
  <c r="E124" i="4"/>
  <c r="G124" i="4" s="1"/>
  <c r="D124" i="4"/>
  <c r="F124" i="4" s="1"/>
  <c r="H124" i="4" s="1"/>
  <c r="C124" i="4"/>
  <c r="E123" i="4"/>
  <c r="G123" i="4" s="1"/>
  <c r="D123" i="4"/>
  <c r="F123" i="4" s="1"/>
  <c r="H123" i="4" s="1"/>
  <c r="C123" i="4"/>
  <c r="E122" i="4"/>
  <c r="G122" i="4" s="1"/>
  <c r="D122" i="4"/>
  <c r="F122" i="4" s="1"/>
  <c r="H122" i="4" s="1"/>
  <c r="C122" i="4"/>
  <c r="H121" i="4"/>
  <c r="E121" i="4"/>
  <c r="G121" i="4" s="1"/>
  <c r="D121" i="4"/>
  <c r="F121" i="4" s="1"/>
  <c r="C121" i="4"/>
  <c r="E120" i="4"/>
  <c r="G120" i="4" s="1"/>
  <c r="D120" i="4"/>
  <c r="F120" i="4" s="1"/>
  <c r="H120" i="4" s="1"/>
  <c r="C120" i="4"/>
  <c r="E119" i="4"/>
  <c r="G119" i="4" s="1"/>
  <c r="D119" i="4"/>
  <c r="F119" i="4" s="1"/>
  <c r="H119" i="4" s="1"/>
  <c r="C119" i="4"/>
  <c r="F118" i="4"/>
  <c r="H118" i="4" s="1"/>
  <c r="E118" i="4"/>
  <c r="G118" i="4" s="1"/>
  <c r="D118" i="4"/>
  <c r="C118" i="4"/>
  <c r="E117" i="4"/>
  <c r="G117" i="4" s="1"/>
  <c r="D117" i="4"/>
  <c r="F117" i="4" s="1"/>
  <c r="H117" i="4" s="1"/>
  <c r="C117" i="4"/>
  <c r="E116" i="4"/>
  <c r="G116" i="4" s="1"/>
  <c r="D116" i="4"/>
  <c r="F116" i="4" s="1"/>
  <c r="H116" i="4" s="1"/>
  <c r="C116" i="4"/>
  <c r="E115" i="4"/>
  <c r="G115" i="4" s="1"/>
  <c r="D115" i="4"/>
  <c r="F115" i="4" s="1"/>
  <c r="H115" i="4" s="1"/>
  <c r="C115" i="4"/>
  <c r="G114" i="4"/>
  <c r="E114" i="4"/>
  <c r="D114" i="4"/>
  <c r="F114" i="4" s="1"/>
  <c r="H114" i="4" s="1"/>
  <c r="C114" i="4"/>
  <c r="H113" i="4"/>
  <c r="E113" i="4"/>
  <c r="G113" i="4" s="1"/>
  <c r="D113" i="4"/>
  <c r="F113" i="4" s="1"/>
  <c r="C113" i="4"/>
  <c r="E112" i="4"/>
  <c r="G112" i="4" s="1"/>
  <c r="D112" i="4"/>
  <c r="F112" i="4" s="1"/>
  <c r="H112" i="4" s="1"/>
  <c r="C112" i="4"/>
  <c r="H111" i="4"/>
  <c r="E111" i="4"/>
  <c r="G111" i="4" s="1"/>
  <c r="D111" i="4"/>
  <c r="F111" i="4" s="1"/>
  <c r="C111" i="4"/>
  <c r="G110" i="4"/>
  <c r="F110" i="4"/>
  <c r="H110" i="4" s="1"/>
  <c r="E110" i="4"/>
  <c r="D110" i="4"/>
  <c r="C110" i="4"/>
  <c r="E109" i="4"/>
  <c r="G109" i="4" s="1"/>
  <c r="D109" i="4"/>
  <c r="F109" i="4" s="1"/>
  <c r="H109" i="4" s="1"/>
  <c r="C109" i="4"/>
  <c r="E108" i="4"/>
  <c r="G108" i="4" s="1"/>
  <c r="D108" i="4"/>
  <c r="F108" i="4" s="1"/>
  <c r="H108" i="4" s="1"/>
  <c r="C108" i="4"/>
  <c r="E107" i="4"/>
  <c r="G107" i="4" s="1"/>
  <c r="D107" i="4"/>
  <c r="F107" i="4" s="1"/>
  <c r="H107" i="4" s="1"/>
  <c r="C107" i="4"/>
  <c r="E106" i="4"/>
  <c r="G106" i="4" s="1"/>
  <c r="D106" i="4"/>
  <c r="F106" i="4" s="1"/>
  <c r="H106" i="4" s="1"/>
  <c r="C106" i="4"/>
  <c r="E105" i="4"/>
  <c r="G105" i="4" s="1"/>
  <c r="D105" i="4"/>
  <c r="F105" i="4" s="1"/>
  <c r="H105" i="4" s="1"/>
  <c r="C105" i="4"/>
  <c r="D104" i="4"/>
  <c r="F104" i="4" s="1"/>
  <c r="H104" i="4" s="1"/>
  <c r="C104" i="4"/>
  <c r="E104" i="4" s="1"/>
  <c r="G104" i="4" s="1"/>
  <c r="E103" i="4"/>
  <c r="G103" i="4" s="1"/>
  <c r="D103" i="4"/>
  <c r="F103" i="4" s="1"/>
  <c r="H103" i="4" s="1"/>
  <c r="C103" i="4"/>
  <c r="G102" i="4"/>
  <c r="F102" i="4"/>
  <c r="H102" i="4" s="1"/>
  <c r="D102" i="4"/>
  <c r="C102" i="4"/>
  <c r="E102" i="4" s="1"/>
  <c r="D101" i="4"/>
  <c r="F101" i="4" s="1"/>
  <c r="H101" i="4" s="1"/>
  <c r="C101" i="4"/>
  <c r="E101" i="4" s="1"/>
  <c r="G101" i="4" s="1"/>
  <c r="E100" i="4"/>
  <c r="G100" i="4" s="1"/>
  <c r="D100" i="4"/>
  <c r="F100" i="4" s="1"/>
  <c r="H100" i="4" s="1"/>
  <c r="C100" i="4"/>
  <c r="D99" i="4"/>
  <c r="F99" i="4" s="1"/>
  <c r="H99" i="4" s="1"/>
  <c r="C99" i="4"/>
  <c r="E99" i="4" s="1"/>
  <c r="G99" i="4" s="1"/>
  <c r="D98" i="4"/>
  <c r="F98" i="4" s="1"/>
  <c r="H98" i="4" s="1"/>
  <c r="C98" i="4"/>
  <c r="E98" i="4" s="1"/>
  <c r="G98" i="4" s="1"/>
  <c r="H97" i="4"/>
  <c r="E97" i="4"/>
  <c r="G97" i="4" s="1"/>
  <c r="D97" i="4"/>
  <c r="F97" i="4" s="1"/>
  <c r="C97" i="4"/>
  <c r="D96" i="4"/>
  <c r="F96" i="4" s="1"/>
  <c r="H96" i="4" s="1"/>
  <c r="C96" i="4"/>
  <c r="E96" i="4" s="1"/>
  <c r="G96" i="4" s="1"/>
  <c r="H95" i="4"/>
  <c r="D95" i="4"/>
  <c r="F95" i="4" s="1"/>
  <c r="C95" i="4"/>
  <c r="E95" i="4" s="1"/>
  <c r="G95" i="4" s="1"/>
  <c r="F94" i="4"/>
  <c r="H94" i="4" s="1"/>
  <c r="D94" i="4"/>
  <c r="C94" i="4"/>
  <c r="E94" i="4" s="1"/>
  <c r="G94" i="4" s="1"/>
  <c r="D93" i="4"/>
  <c r="F93" i="4" s="1"/>
  <c r="H93" i="4" s="1"/>
  <c r="C93" i="4"/>
  <c r="E93" i="4" s="1"/>
  <c r="G93" i="4" s="1"/>
  <c r="F92" i="4"/>
  <c r="H92" i="4" s="1"/>
  <c r="E92" i="4"/>
  <c r="G92" i="4" s="1"/>
  <c r="D92" i="4"/>
  <c r="C92" i="4"/>
  <c r="D91" i="4"/>
  <c r="F91" i="4" s="1"/>
  <c r="H91" i="4" s="1"/>
  <c r="C91" i="4"/>
  <c r="E91" i="4" s="1"/>
  <c r="G91" i="4" s="1"/>
  <c r="D90" i="4"/>
  <c r="F90" i="4" s="1"/>
  <c r="H90" i="4" s="1"/>
  <c r="C90" i="4"/>
  <c r="E90" i="4" s="1"/>
  <c r="G90" i="4" s="1"/>
  <c r="E89" i="4"/>
  <c r="G89" i="4" s="1"/>
  <c r="D89" i="4"/>
  <c r="F89" i="4" s="1"/>
  <c r="H89" i="4" s="1"/>
  <c r="C89" i="4"/>
  <c r="D88" i="4"/>
  <c r="F88" i="4" s="1"/>
  <c r="H88" i="4" s="1"/>
  <c r="C88" i="4"/>
  <c r="E88" i="4" s="1"/>
  <c r="G88" i="4" s="1"/>
  <c r="D87" i="4"/>
  <c r="F87" i="4" s="1"/>
  <c r="H87" i="4" s="1"/>
  <c r="C87" i="4"/>
  <c r="E87" i="4" s="1"/>
  <c r="G87" i="4" s="1"/>
  <c r="F86" i="4"/>
  <c r="H86" i="4" s="1"/>
  <c r="D86" i="4"/>
  <c r="C86" i="4"/>
  <c r="E86" i="4" s="1"/>
  <c r="G86" i="4" s="1"/>
  <c r="D85" i="4"/>
  <c r="F85" i="4" s="1"/>
  <c r="H85" i="4" s="1"/>
  <c r="C85" i="4"/>
  <c r="E85" i="4" s="1"/>
  <c r="G85" i="4" s="1"/>
  <c r="E84" i="4"/>
  <c r="G84" i="4" s="1"/>
  <c r="D84" i="4"/>
  <c r="F84" i="4" s="1"/>
  <c r="H84" i="4" s="1"/>
  <c r="C84" i="4"/>
  <c r="D83" i="4"/>
  <c r="F83" i="4" s="1"/>
  <c r="H83" i="4" s="1"/>
  <c r="C83" i="4"/>
  <c r="E83" i="4" s="1"/>
  <c r="G83" i="4" s="1"/>
  <c r="F82" i="4"/>
  <c r="H82" i="4" s="1"/>
  <c r="D82" i="4"/>
  <c r="C82" i="4"/>
  <c r="E82" i="4" s="1"/>
  <c r="G82" i="4" s="1"/>
  <c r="H81" i="4"/>
  <c r="E81" i="4"/>
  <c r="G81" i="4" s="1"/>
  <c r="D81" i="4"/>
  <c r="F81" i="4" s="1"/>
  <c r="C81" i="4"/>
  <c r="D80" i="4"/>
  <c r="F80" i="4" s="1"/>
  <c r="H80" i="4" s="1"/>
  <c r="C80" i="4"/>
  <c r="E80" i="4" s="1"/>
  <c r="G80" i="4" s="1"/>
  <c r="E79" i="4"/>
  <c r="G79" i="4" s="1"/>
  <c r="D79" i="4"/>
  <c r="F79" i="4" s="1"/>
  <c r="H79" i="4" s="1"/>
  <c r="C79" i="4"/>
  <c r="F78" i="4"/>
  <c r="H78" i="4" s="1"/>
  <c r="D78" i="4"/>
  <c r="C78" i="4"/>
  <c r="E78" i="4" s="1"/>
  <c r="G78" i="4" s="1"/>
  <c r="D77" i="4"/>
  <c r="F77" i="4" s="1"/>
  <c r="H77" i="4" s="1"/>
  <c r="C77" i="4"/>
  <c r="E77" i="4" s="1"/>
  <c r="G77" i="4" s="1"/>
  <c r="E76" i="4"/>
  <c r="G76" i="4" s="1"/>
  <c r="D76" i="4"/>
  <c r="F76" i="4" s="1"/>
  <c r="H76" i="4" s="1"/>
  <c r="C76" i="4"/>
  <c r="D75" i="4"/>
  <c r="F75" i="4" s="1"/>
  <c r="H75" i="4" s="1"/>
  <c r="C75" i="4"/>
  <c r="E75" i="4" s="1"/>
  <c r="G75" i="4" s="1"/>
  <c r="D74" i="4"/>
  <c r="F74" i="4" s="1"/>
  <c r="H74" i="4" s="1"/>
  <c r="C74" i="4"/>
  <c r="E74" i="4" s="1"/>
  <c r="G74" i="4" s="1"/>
  <c r="H73" i="4"/>
  <c r="E73" i="4"/>
  <c r="G73" i="4" s="1"/>
  <c r="D73" i="4"/>
  <c r="F73" i="4" s="1"/>
  <c r="C73" i="4"/>
  <c r="D72" i="4"/>
  <c r="F72" i="4" s="1"/>
  <c r="H72" i="4" s="1"/>
  <c r="C72" i="4"/>
  <c r="E72" i="4" s="1"/>
  <c r="G72" i="4" s="1"/>
  <c r="E71" i="4"/>
  <c r="G71" i="4" s="1"/>
  <c r="D71" i="4"/>
  <c r="F71" i="4" s="1"/>
  <c r="H71" i="4" s="1"/>
  <c r="C71" i="4"/>
  <c r="D70" i="4"/>
  <c r="F70" i="4" s="1"/>
  <c r="H70" i="4" s="1"/>
  <c r="C70" i="4"/>
  <c r="E70" i="4" s="1"/>
  <c r="G70" i="4" s="1"/>
  <c r="D69" i="4"/>
  <c r="F69" i="4" s="1"/>
  <c r="H69" i="4" s="1"/>
  <c r="C69" i="4"/>
  <c r="E69" i="4" s="1"/>
  <c r="G69" i="4" s="1"/>
  <c r="D68" i="4"/>
  <c r="F68" i="4" s="1"/>
  <c r="H68" i="4" s="1"/>
  <c r="C68" i="4"/>
  <c r="E68" i="4" s="1"/>
  <c r="G68" i="4" s="1"/>
  <c r="D67" i="4"/>
  <c r="F67" i="4" s="1"/>
  <c r="H67" i="4" s="1"/>
  <c r="C67" i="4"/>
  <c r="E67" i="4" s="1"/>
  <c r="G67" i="4" s="1"/>
  <c r="G66" i="4"/>
  <c r="F66" i="4"/>
  <c r="H66" i="4" s="1"/>
  <c r="E66" i="4"/>
  <c r="D66" i="4"/>
  <c r="C66" i="4"/>
  <c r="D65" i="4"/>
  <c r="F65" i="4" s="1"/>
  <c r="H65" i="4" s="1"/>
  <c r="C65" i="4"/>
  <c r="E65" i="4" s="1"/>
  <c r="G65" i="4" s="1"/>
  <c r="E64" i="4"/>
  <c r="G64" i="4" s="1"/>
  <c r="D64" i="4"/>
  <c r="F64" i="4" s="1"/>
  <c r="H64" i="4" s="1"/>
  <c r="C64" i="4"/>
  <c r="D63" i="4"/>
  <c r="F63" i="4" s="1"/>
  <c r="H63" i="4" s="1"/>
  <c r="C63" i="4"/>
  <c r="E63" i="4" s="1"/>
  <c r="G63" i="4" s="1"/>
  <c r="E62" i="4"/>
  <c r="G62" i="4" s="1"/>
  <c r="D62" i="4"/>
  <c r="F62" i="4" s="1"/>
  <c r="H62" i="4" s="1"/>
  <c r="C62" i="4"/>
  <c r="D61" i="4"/>
  <c r="F61" i="4" s="1"/>
  <c r="H61" i="4" s="1"/>
  <c r="C61" i="4"/>
  <c r="E61" i="4" s="1"/>
  <c r="G61" i="4" s="1"/>
  <c r="E60" i="4"/>
  <c r="G60" i="4" s="1"/>
  <c r="D60" i="4"/>
  <c r="F60" i="4" s="1"/>
  <c r="H60" i="4" s="1"/>
  <c r="C60" i="4"/>
  <c r="D59" i="4"/>
  <c r="F59" i="4" s="1"/>
  <c r="H59" i="4" s="1"/>
  <c r="C59" i="4"/>
  <c r="E59" i="4" s="1"/>
  <c r="G59" i="4" s="1"/>
  <c r="F58" i="4"/>
  <c r="H58" i="4" s="1"/>
  <c r="E58" i="4"/>
  <c r="G58" i="4" s="1"/>
  <c r="D58" i="4"/>
  <c r="C58" i="4"/>
  <c r="D57" i="4"/>
  <c r="F57" i="4" s="1"/>
  <c r="H57" i="4" s="1"/>
  <c r="C57" i="4"/>
  <c r="E57" i="4" s="1"/>
  <c r="G57" i="4" s="1"/>
  <c r="E56" i="4"/>
  <c r="G56" i="4" s="1"/>
  <c r="D56" i="4"/>
  <c r="F56" i="4" s="1"/>
  <c r="H56" i="4" s="1"/>
  <c r="C56" i="4"/>
  <c r="E55" i="4"/>
  <c r="G55" i="4" s="1"/>
  <c r="D55" i="4"/>
  <c r="F55" i="4" s="1"/>
  <c r="H55" i="4" s="1"/>
  <c r="C55" i="4"/>
  <c r="E54" i="4"/>
  <c r="G54" i="4" s="1"/>
  <c r="D54" i="4"/>
  <c r="F54" i="4" s="1"/>
  <c r="H54" i="4" s="1"/>
  <c r="C54" i="4"/>
  <c r="D53" i="4"/>
  <c r="F53" i="4" s="1"/>
  <c r="H53" i="4" s="1"/>
  <c r="C53" i="4"/>
  <c r="E53" i="4" s="1"/>
  <c r="G53" i="4" s="1"/>
  <c r="E52" i="4"/>
  <c r="G52" i="4" s="1"/>
  <c r="D52" i="4"/>
  <c r="F52" i="4" s="1"/>
  <c r="H52" i="4" s="1"/>
  <c r="C52" i="4"/>
  <c r="D51" i="4"/>
  <c r="F51" i="4" s="1"/>
  <c r="H51" i="4" s="1"/>
  <c r="C51" i="4"/>
  <c r="E51" i="4" s="1"/>
  <c r="G51" i="4" s="1"/>
  <c r="E50" i="4"/>
  <c r="G50" i="4" s="1"/>
  <c r="D50" i="4"/>
  <c r="F50" i="4" s="1"/>
  <c r="H50" i="4" s="1"/>
  <c r="C50" i="4"/>
  <c r="D49" i="4"/>
  <c r="F49" i="4" s="1"/>
  <c r="H49" i="4" s="1"/>
  <c r="C49" i="4"/>
  <c r="E49" i="4" s="1"/>
  <c r="G49" i="4" s="1"/>
  <c r="E48" i="4"/>
  <c r="G48" i="4" s="1"/>
  <c r="D48" i="4"/>
  <c r="F48" i="4" s="1"/>
  <c r="H48" i="4" s="1"/>
  <c r="C48" i="4"/>
  <c r="E47" i="4"/>
  <c r="G47" i="4" s="1"/>
  <c r="D47" i="4"/>
  <c r="F47" i="4" s="1"/>
  <c r="H47" i="4" s="1"/>
  <c r="C47" i="4"/>
  <c r="E46" i="4"/>
  <c r="G46" i="4" s="1"/>
  <c r="D46" i="4"/>
  <c r="F46" i="4" s="1"/>
  <c r="H46" i="4" s="1"/>
  <c r="C46" i="4"/>
  <c r="D45" i="4"/>
  <c r="F45" i="4" s="1"/>
  <c r="H45" i="4" s="1"/>
  <c r="C45" i="4"/>
  <c r="E45" i="4" s="1"/>
  <c r="G45" i="4" s="1"/>
  <c r="G44" i="4"/>
  <c r="E44" i="4"/>
  <c r="D44" i="4"/>
  <c r="F44" i="4" s="1"/>
  <c r="H44" i="4" s="1"/>
  <c r="C44" i="4"/>
  <c r="D43" i="4"/>
  <c r="F43" i="4" s="1"/>
  <c r="H43" i="4" s="1"/>
  <c r="C43" i="4"/>
  <c r="E43" i="4" s="1"/>
  <c r="G43" i="4" s="1"/>
  <c r="E42" i="4"/>
  <c r="G42" i="4" s="1"/>
  <c r="D42" i="4"/>
  <c r="F42" i="4" s="1"/>
  <c r="H42" i="4" s="1"/>
  <c r="C42" i="4"/>
  <c r="D41" i="4"/>
  <c r="F41" i="4" s="1"/>
  <c r="H41" i="4" s="1"/>
  <c r="C41" i="4"/>
  <c r="E41" i="4" s="1"/>
  <c r="G41" i="4" s="1"/>
  <c r="E40" i="4"/>
  <c r="G40" i="4" s="1"/>
  <c r="D40" i="4"/>
  <c r="F40" i="4" s="1"/>
  <c r="H40" i="4" s="1"/>
  <c r="C40" i="4"/>
  <c r="E39" i="4"/>
  <c r="G39" i="4" s="1"/>
  <c r="D39" i="4"/>
  <c r="F39" i="4" s="1"/>
  <c r="H39" i="4" s="1"/>
  <c r="C39" i="4"/>
  <c r="E38" i="4"/>
  <c r="G38" i="4" s="1"/>
  <c r="D38" i="4"/>
  <c r="F38" i="4" s="1"/>
  <c r="H38" i="4" s="1"/>
  <c r="C38" i="4"/>
  <c r="D37" i="4"/>
  <c r="F37" i="4" s="1"/>
  <c r="H37" i="4" s="1"/>
  <c r="C37" i="4"/>
  <c r="E37" i="4" s="1"/>
  <c r="G37" i="4" s="1"/>
  <c r="E36" i="4"/>
  <c r="G36" i="4" s="1"/>
  <c r="D36" i="4"/>
  <c r="F36" i="4" s="1"/>
  <c r="H36" i="4" s="1"/>
  <c r="C36" i="4"/>
  <c r="D35" i="4"/>
  <c r="F35" i="4" s="1"/>
  <c r="H35" i="4" s="1"/>
  <c r="C35" i="4"/>
  <c r="E35" i="4" s="1"/>
  <c r="G35" i="4" s="1"/>
  <c r="E34" i="4"/>
  <c r="G34" i="4" s="1"/>
  <c r="D34" i="4"/>
  <c r="F34" i="4" s="1"/>
  <c r="H34" i="4" s="1"/>
  <c r="C34" i="4"/>
  <c r="D33" i="4"/>
  <c r="F33" i="4" s="1"/>
  <c r="H33" i="4" s="1"/>
  <c r="C33" i="4"/>
  <c r="E33" i="4" s="1"/>
  <c r="G33" i="4" s="1"/>
  <c r="E32" i="4"/>
  <c r="G32" i="4" s="1"/>
  <c r="D32" i="4"/>
  <c r="F32" i="4" s="1"/>
  <c r="H32" i="4" s="1"/>
  <c r="C32" i="4"/>
  <c r="E31" i="4"/>
  <c r="G31" i="4" s="1"/>
  <c r="D31" i="4"/>
  <c r="F31" i="4" s="1"/>
  <c r="H31" i="4" s="1"/>
  <c r="C31" i="4"/>
  <c r="D30" i="4"/>
  <c r="F30" i="4" s="1"/>
  <c r="H30" i="4" s="1"/>
  <c r="C30" i="4"/>
  <c r="E30" i="4" s="1"/>
  <c r="G30" i="4" s="1"/>
  <c r="D29" i="4"/>
  <c r="F29" i="4" s="1"/>
  <c r="H29" i="4" s="1"/>
  <c r="C29" i="4"/>
  <c r="E29" i="4" s="1"/>
  <c r="G29" i="4" s="1"/>
  <c r="D28" i="4"/>
  <c r="F28" i="4" s="1"/>
  <c r="H28" i="4" s="1"/>
  <c r="C28" i="4"/>
  <c r="E28" i="4" s="1"/>
  <c r="G28" i="4" s="1"/>
  <c r="D27" i="4"/>
  <c r="F27" i="4" s="1"/>
  <c r="H27" i="4" s="1"/>
  <c r="C27" i="4"/>
  <c r="E27" i="4" s="1"/>
  <c r="G27" i="4" s="1"/>
  <c r="E26" i="4"/>
  <c r="G26" i="4" s="1"/>
  <c r="D26" i="4"/>
  <c r="F26" i="4" s="1"/>
  <c r="H26" i="4" s="1"/>
  <c r="C26" i="4"/>
  <c r="D25" i="4"/>
  <c r="F25" i="4" s="1"/>
  <c r="H25" i="4" s="1"/>
  <c r="C25" i="4"/>
  <c r="E25" i="4" s="1"/>
  <c r="G25" i="4" s="1"/>
  <c r="D24" i="4"/>
  <c r="F24" i="4" s="1"/>
  <c r="H24" i="4" s="1"/>
  <c r="C24" i="4"/>
  <c r="E24" i="4" s="1"/>
  <c r="G24" i="4" s="1"/>
  <c r="E23" i="4"/>
  <c r="G23" i="4" s="1"/>
  <c r="D23" i="4"/>
  <c r="F23" i="4" s="1"/>
  <c r="H23" i="4" s="1"/>
  <c r="C23" i="4"/>
  <c r="D22" i="4"/>
  <c r="F22" i="4" s="1"/>
  <c r="H22" i="4" s="1"/>
  <c r="C22" i="4"/>
  <c r="E22" i="4" s="1"/>
  <c r="G22" i="4" s="1"/>
  <c r="D21" i="4"/>
  <c r="F21" i="4" s="1"/>
  <c r="H21" i="4" s="1"/>
  <c r="C21" i="4"/>
  <c r="E21" i="4" s="1"/>
  <c r="G21" i="4" s="1"/>
  <c r="D20" i="4"/>
  <c r="F20" i="4" s="1"/>
  <c r="H20" i="4" s="1"/>
  <c r="C20" i="4"/>
  <c r="E20" i="4" s="1"/>
  <c r="G20" i="4" s="1"/>
  <c r="D19" i="4"/>
  <c r="F19" i="4" s="1"/>
  <c r="H19" i="4" s="1"/>
  <c r="C19" i="4"/>
  <c r="E19" i="4" s="1"/>
  <c r="G19" i="4" s="1"/>
  <c r="E18" i="4"/>
  <c r="G18" i="4" s="1"/>
  <c r="D18" i="4"/>
  <c r="F18" i="4" s="1"/>
  <c r="H18" i="4" s="1"/>
  <c r="C18" i="4"/>
  <c r="D17" i="4"/>
  <c r="F17" i="4" s="1"/>
  <c r="H17" i="4" s="1"/>
  <c r="C17" i="4"/>
  <c r="E17" i="4" s="1"/>
  <c r="G17" i="4" s="1"/>
  <c r="D16" i="4"/>
  <c r="F16" i="4" s="1"/>
  <c r="H16" i="4" s="1"/>
  <c r="C16" i="4"/>
  <c r="E16" i="4" s="1"/>
  <c r="G16" i="4" s="1"/>
  <c r="E15" i="4"/>
  <c r="G15" i="4" s="1"/>
  <c r="D15" i="4"/>
  <c r="F15" i="4" s="1"/>
  <c r="H15" i="4" s="1"/>
  <c r="C15" i="4"/>
  <c r="D14" i="4"/>
  <c r="F14" i="4" s="1"/>
  <c r="H14" i="4" s="1"/>
  <c r="C14" i="4"/>
  <c r="E14" i="4" s="1"/>
  <c r="G14" i="4" s="1"/>
  <c r="D13" i="4"/>
  <c r="F13" i="4" s="1"/>
  <c r="H13" i="4" s="1"/>
  <c r="C13" i="4"/>
  <c r="E13" i="4" s="1"/>
  <c r="G13" i="4" s="1"/>
  <c r="D12" i="4"/>
  <c r="F12" i="4" s="1"/>
  <c r="H12" i="4" s="1"/>
  <c r="C12" i="4"/>
  <c r="E12" i="4" s="1"/>
  <c r="G12" i="4" s="1"/>
  <c r="D11" i="4"/>
  <c r="F11" i="4" s="1"/>
  <c r="H11" i="4" s="1"/>
  <c r="C11" i="4"/>
  <c r="E11" i="4" s="1"/>
  <c r="G11" i="4" s="1"/>
  <c r="E10" i="4"/>
  <c r="G10" i="4" s="1"/>
  <c r="D10" i="4"/>
  <c r="F10" i="4" s="1"/>
  <c r="H10" i="4" s="1"/>
  <c r="C10" i="4"/>
  <c r="D9" i="4"/>
  <c r="F9" i="4" s="1"/>
  <c r="H9" i="4" s="1"/>
  <c r="C9" i="4"/>
  <c r="E9" i="4" s="1"/>
  <c r="G9" i="4" s="1"/>
  <c r="D8" i="4"/>
  <c r="F8" i="4" s="1"/>
  <c r="H8" i="4" s="1"/>
  <c r="C8" i="4"/>
  <c r="E8" i="4" s="1"/>
  <c r="G8" i="4" s="1"/>
  <c r="E7" i="4"/>
  <c r="G7" i="4" s="1"/>
  <c r="D7" i="4"/>
  <c r="F7" i="4" s="1"/>
  <c r="H7" i="4" s="1"/>
  <c r="C7" i="4"/>
  <c r="D6" i="4"/>
  <c r="F6" i="4" s="1"/>
  <c r="H6" i="4" s="1"/>
  <c r="C6" i="4"/>
  <c r="E6" i="4" s="1"/>
  <c r="G6" i="4" s="1"/>
  <c r="D5" i="4"/>
  <c r="F5" i="4" s="1"/>
  <c r="H5" i="4" s="1"/>
  <c r="C5" i="4"/>
  <c r="E5" i="4" s="1"/>
  <c r="G5" i="4" s="1"/>
  <c r="D4" i="4"/>
  <c r="F4" i="4" s="1"/>
  <c r="H4" i="4" s="1"/>
  <c r="C4" i="4"/>
  <c r="E4" i="4" s="1"/>
  <c r="G4" i="4" s="1"/>
  <c r="D3" i="4"/>
  <c r="F3" i="4" s="1"/>
  <c r="H3" i="4" s="1"/>
  <c r="C3" i="4"/>
  <c r="E3" i="4" s="1"/>
  <c r="G3" i="4" s="1"/>
  <c r="E2" i="4"/>
  <c r="D2" i="4"/>
  <c r="F2" i="4" s="1"/>
  <c r="C2" i="4"/>
  <c r="F305" i="4" l="1"/>
  <c r="H2" i="4"/>
  <c r="E305" i="4"/>
  <c r="G2" i="4"/>
</calcChain>
</file>

<file path=xl/sharedStrings.xml><?xml version="1.0" encoding="utf-8"?>
<sst xmlns="http://schemas.openxmlformats.org/spreadsheetml/2006/main" count="30" uniqueCount="25">
  <si>
    <t>mm</t>
  </si>
  <si>
    <t>cnt_user</t>
  </si>
  <si>
    <t>share_long</t>
  </si>
  <si>
    <t>avg_len</t>
  </si>
  <si>
    <t>Дата</t>
  </si>
  <si>
    <t>DAU</t>
  </si>
  <si>
    <t> ISOWEEKNUM</t>
  </si>
  <si>
    <t>MONTH</t>
  </si>
  <si>
    <t>WAU</t>
  </si>
  <si>
    <t>MAU</t>
  </si>
  <si>
    <t>SF (еженедельно)</t>
  </si>
  <si>
    <t>SF (ежемесячно)</t>
  </si>
  <si>
    <t>макс</t>
  </si>
  <si>
    <t>Кол-во сессий всего</t>
  </si>
  <si>
    <t xml:space="preserve">Кол-во длинных сессий </t>
  </si>
  <si>
    <t xml:space="preserve">Доля длинных сессий </t>
  </si>
  <si>
    <t>days</t>
  </si>
  <si>
    <t>LDAU</t>
  </si>
  <si>
    <t>NUMWEEK</t>
  </si>
  <si>
    <t>Month</t>
  </si>
  <si>
    <t>LWAU</t>
  </si>
  <si>
    <t>LMAU</t>
  </si>
  <si>
    <t>Месяц</t>
  </si>
  <si>
    <r>
      <t xml:space="preserve">Кол-во при условии </t>
    </r>
    <r>
      <rPr>
        <b/>
        <sz val="11"/>
        <color rgb="FF000000"/>
        <rFont val="Calibri"/>
        <family val="2"/>
        <charset val="204"/>
        <scheme val="minor"/>
      </rPr>
      <t>ИЛИ</t>
    </r>
  </si>
  <si>
    <r>
      <t xml:space="preserve">Кол-во при условии </t>
    </r>
    <r>
      <rPr>
        <b/>
        <sz val="11"/>
        <color rgb="FF000000"/>
        <rFont val="Calibri"/>
        <family val="2"/>
        <charset val="204"/>
        <scheme val="minor"/>
      </rPr>
      <t>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</si>
</sst>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4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/>
    <xf numFmtId="14" fontId="0" fillId="0" borderId="1" xfId="0" applyNumberFormat="1" applyBorder="1"/>
    <xf numFmtId="3" fontId="0" fillId="0" borderId="2" xfId="0" applyNumberFormat="1" applyBorder="1"/>
    <xf numFmtId="14" fontId="0" fillId="0" borderId="3" xfId="0" applyNumberFormat="1" applyBorder="1"/>
    <xf numFmtId="3" fontId="0" fillId="0" borderId="4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3" fontId="0" fillId="0" borderId="0" xfId="0" applyNumberFormat="1" applyBorder="1"/>
    <xf numFmtId="0" fontId="0" fillId="0" borderId="0" xfId="0" applyBorder="1"/>
    <xf numFmtId="9" fontId="0" fillId="0" borderId="0" xfId="0" applyNumberFormat="1" applyBorder="1"/>
    <xf numFmtId="9" fontId="0" fillId="0" borderId="2" xfId="0" applyNumberFormat="1" applyBorder="1"/>
    <xf numFmtId="14" fontId="0" fillId="2" borderId="1" xfId="0" applyNumberFormat="1" applyFill="1" applyBorder="1"/>
    <xf numFmtId="3" fontId="0" fillId="2" borderId="0" xfId="0" applyNumberFormat="1" applyFill="1" applyBorder="1"/>
    <xf numFmtId="0" fontId="0" fillId="2" borderId="0" xfId="0" applyFill="1" applyBorder="1"/>
    <xf numFmtId="0" fontId="1" fillId="2" borderId="0" xfId="0" applyFont="1" applyFill="1" applyBorder="1"/>
    <xf numFmtId="9" fontId="0" fillId="2" borderId="0" xfId="0" applyNumberFormat="1" applyFill="1" applyBorder="1"/>
    <xf numFmtId="9" fontId="0" fillId="2" borderId="2" xfId="0" applyNumberFormat="1" applyFill="1" applyBorder="1"/>
    <xf numFmtId="0" fontId="2" fillId="2" borderId="0" xfId="0" applyFont="1" applyFill="1" applyBorder="1"/>
    <xf numFmtId="3" fontId="1" fillId="2" borderId="0" xfId="0" applyNumberFormat="1" applyFont="1" applyFill="1" applyBorder="1"/>
    <xf numFmtId="0" fontId="1" fillId="0" borderId="0" xfId="0" applyFont="1" applyBorder="1"/>
    <xf numFmtId="0" fontId="1" fillId="2" borderId="3" xfId="0" applyFont="1" applyFill="1" applyBorder="1"/>
    <xf numFmtId="3" fontId="1" fillId="2" borderId="5" xfId="0" applyNumberFormat="1" applyFont="1" applyFill="1" applyBorder="1"/>
    <xf numFmtId="0" fontId="1" fillId="2" borderId="5" xfId="0" applyFont="1" applyFill="1" applyBorder="1"/>
    <xf numFmtId="0" fontId="0" fillId="0" borderId="5" xfId="0" applyBorder="1"/>
    <xf numFmtId="0" fontId="0" fillId="0" borderId="4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3" fontId="0" fillId="0" borderId="5" xfId="0" applyNumberForma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пользовательской базы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6014986147564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База!$B$1</c:f>
              <c:strCache>
                <c:ptCount val="1"/>
                <c:pt idx="0">
                  <c:v>cnt_user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База!$A$2:$A$10</c:f>
              <c:numCache>
                <c:formatCode>m/d/yyyy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База!$B$2:$B$10</c:f>
              <c:numCache>
                <c:formatCode>#,##0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B-4843-87E0-72E4C6276F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21104496"/>
        <c:axId val="2121103664"/>
      </c:barChart>
      <c:dateAx>
        <c:axId val="212110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1103664"/>
        <c:crosses val="autoZero"/>
        <c:auto val="1"/>
        <c:lblOffset val="100"/>
        <c:baseTimeUnit val="months"/>
      </c:dateAx>
      <c:valAx>
        <c:axId val="21211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110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количества и доли игровых сессий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'[5]Query result'!$B$1</c:f>
              <c:strCache>
                <c:ptCount val="1"/>
                <c:pt idx="0">
                  <c:v>Кол-во сессий всего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'[5]Query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'[5]Query result'!$B$2:$B$11</c:f>
              <c:numCache>
                <c:formatCode>General</c:formatCode>
                <c:ptCount val="10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  <c:pt idx="9">
                  <c:v>4973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9-43AE-8BED-FFF092DA705B}"/>
            </c:ext>
          </c:extLst>
        </c:ser>
        <c:ser>
          <c:idx val="1"/>
          <c:order val="1"/>
          <c:tx>
            <c:strRef>
              <c:f>'[5]Query result'!$C$1</c:f>
              <c:strCache>
                <c:ptCount val="1"/>
                <c:pt idx="0">
                  <c:v>Кол-во длинных сессий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'[5]Query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'[5]Query result'!$C$2:$C$11</c:f>
              <c:numCache>
                <c:formatCode>General</c:formatCode>
                <c:ptCount val="10"/>
                <c:pt idx="0">
                  <c:v>919</c:v>
                </c:pt>
                <c:pt idx="1">
                  <c:v>1707</c:v>
                </c:pt>
                <c:pt idx="2">
                  <c:v>1715</c:v>
                </c:pt>
                <c:pt idx="3">
                  <c:v>1809</c:v>
                </c:pt>
                <c:pt idx="4">
                  <c:v>1253</c:v>
                </c:pt>
                <c:pt idx="5">
                  <c:v>612</c:v>
                </c:pt>
                <c:pt idx="6">
                  <c:v>1775</c:v>
                </c:pt>
                <c:pt idx="7">
                  <c:v>2429</c:v>
                </c:pt>
                <c:pt idx="8">
                  <c:v>3895</c:v>
                </c:pt>
                <c:pt idx="9">
                  <c:v>3243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9-43AE-8BED-FFF092DA7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590224"/>
        <c:axId val="547592720"/>
      </c:lineChart>
      <c:lineChart>
        <c:grouping val="standard"/>
        <c:varyColors val="0"/>
        <c:ser>
          <c:idx val="2"/>
          <c:order val="2"/>
          <c:tx>
            <c:strRef>
              <c:f>'[5]Query result'!$D$1</c:f>
              <c:strCache>
                <c:ptCount val="1"/>
                <c:pt idx="0">
                  <c:v>Доля длинных сессий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'[5]Query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'[5]Query result'!$D$2:$D$11</c:f>
              <c:numCache>
                <c:formatCode>General</c:formatCode>
                <c:ptCount val="10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  <c:pt idx="9">
                  <c:v>0.65212145586165293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9-43AE-8BED-FFF092DA7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296528"/>
        <c:axId val="608283632"/>
      </c:lineChart>
      <c:catAx>
        <c:axId val="547590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592720"/>
        <c:crosses val="autoZero"/>
        <c:auto val="1"/>
        <c:lblAlgn val="ctr"/>
        <c:lblOffset val="100"/>
        <c:noMultiLvlLbl val="0"/>
      </c:catAx>
      <c:valAx>
        <c:axId val="547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сессий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7590224"/>
        <c:crosses val="autoZero"/>
        <c:crossBetween val="between"/>
      </c:valAx>
      <c:valAx>
        <c:axId val="6082836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8296528"/>
        <c:crosses val="max"/>
        <c:crossBetween val="between"/>
      </c:valAx>
      <c:catAx>
        <c:axId val="608296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8283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доли "длинных" сессий</a:t>
            </a:r>
            <a:endParaRPr lang="en-US"/>
          </a:p>
        </c:rich>
      </c:tx>
      <c:layout>
        <c:manualLayout>
          <c:xMode val="edge"/>
          <c:yMode val="edge"/>
          <c:x val="0.19074183784482479"/>
          <c:y val="5.0024992665512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'[1]Query result'!$B$1</c:f>
              <c:strCache>
                <c:ptCount val="1"/>
                <c:pt idx="0">
                  <c:v>share_long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'[1]Query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'[1]Query result'!$B$2:$B$11</c:f>
              <c:numCache>
                <c:formatCode>General</c:formatCode>
                <c:ptCount val="10"/>
                <c:pt idx="0">
                  <c:v>0.66811751904243744</c:v>
                </c:pt>
                <c:pt idx="1">
                  <c:v>0.69244288224956063</c:v>
                </c:pt>
                <c:pt idx="2">
                  <c:v>0.69154518950437316</c:v>
                </c:pt>
                <c:pt idx="3">
                  <c:v>0.6843559977888336</c:v>
                </c:pt>
                <c:pt idx="4">
                  <c:v>0.63607342378292098</c:v>
                </c:pt>
                <c:pt idx="5">
                  <c:v>0.56372549019607843</c:v>
                </c:pt>
                <c:pt idx="6">
                  <c:v>0.65014084507042258</c:v>
                </c:pt>
                <c:pt idx="7">
                  <c:v>0.66941128036228903</c:v>
                </c:pt>
                <c:pt idx="8">
                  <c:v>0.6426187419768935</c:v>
                </c:pt>
                <c:pt idx="9">
                  <c:v>0.70027752081406103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6-4FE4-8163-ABC96BF1C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76352239"/>
        <c:axId val="876350575"/>
      </c:lineChart>
      <c:catAx>
        <c:axId val="876352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50575"/>
        <c:crosses val="autoZero"/>
        <c:auto val="1"/>
        <c:lblAlgn val="ctr"/>
        <c:lblOffset val="100"/>
        <c:noMultiLvlLbl val="0"/>
      </c:catAx>
      <c:valAx>
        <c:axId val="876350575"/>
        <c:scaling>
          <c:orientation val="minMax"/>
          <c:min val="0.4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35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длит-ти 1 игровой сессии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2055555555555556E-2"/>
          <c:y val="0.19486111111111112"/>
          <c:w val="0.90364107611548561"/>
          <c:h val="0.6014986147564888"/>
        </c:manualLayout>
      </c:layout>
      <c:lineChart>
        <c:grouping val="standard"/>
        <c:varyColors val="0"/>
        <c:ser>
          <c:idx val="0"/>
          <c:order val="0"/>
          <c:tx>
            <c:strRef>
              <c:f>'[2]Query result'!$B$1</c:f>
              <c:strCache>
                <c:ptCount val="1"/>
                <c:pt idx="0">
                  <c:v>avg_len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'[2]Query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'[2]Query result'!$B$2:$B$11</c:f>
              <c:numCache>
                <c:formatCode>General</c:formatCode>
                <c:ptCount val="10"/>
                <c:pt idx="0">
                  <c:v>2.2188248095756258</c:v>
                </c:pt>
                <c:pt idx="1">
                  <c:v>2.3230326108181996</c:v>
                </c:pt>
                <c:pt idx="2">
                  <c:v>2.2760932944606416</c:v>
                </c:pt>
                <c:pt idx="3">
                  <c:v>2.3715035931453841</c:v>
                </c:pt>
                <c:pt idx="4">
                  <c:v>2.5163474328278799</c:v>
                </c:pt>
                <c:pt idx="5">
                  <c:v>2.731181917211329</c:v>
                </c:pt>
                <c:pt idx="6">
                  <c:v>2.3998779342723005</c:v>
                </c:pt>
                <c:pt idx="7">
                  <c:v>2.2895430218196791</c:v>
                </c:pt>
                <c:pt idx="8">
                  <c:v>5.5359777492511766</c:v>
                </c:pt>
                <c:pt idx="9">
                  <c:v>2.3343766060232296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0-4EE9-B76E-6D95E72EB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68431215"/>
        <c:axId val="1968415823"/>
      </c:lineChart>
      <c:catAx>
        <c:axId val="1968431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415823"/>
        <c:crosses val="autoZero"/>
        <c:auto val="1"/>
        <c:lblAlgn val="ctr"/>
        <c:lblOffset val="100"/>
        <c:noMultiLvlLbl val="0"/>
      </c:catAx>
      <c:valAx>
        <c:axId val="1968415823"/>
        <c:scaling>
          <c:orientation val="minMax"/>
          <c:min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843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DAU, WAU, MAU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30932650105268422"/>
          <c:y val="2.5553696969371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[3]DAU!$B$1</c:f>
              <c:strCache>
                <c:ptCount val="1"/>
                <c:pt idx="0">
                  <c:v>DAU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58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50-46F6-9DD0-0AC0D5C32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[3]DAU!$A$2:$A$304</c15:sqref>
                  </c15:fullRef>
                </c:ext>
              </c:extLst>
              <c:f>[3]DAU!$A$4:$A$304</c:f>
              <c:numCache>
                <c:formatCode>General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[3]DAU!$B$2:$B$304</c15:sqref>
                  </c15:fullRef>
                </c:ext>
              </c:extLst>
              <c:f>[3]DAU!$B$4:$B$304</c:f>
              <c:numCache>
                <c:formatCode>General</c:formatCode>
                <c:ptCount val="301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13</c:v>
                </c:pt>
                <c:pt idx="4">
                  <c:v>22</c:v>
                </c:pt>
                <c:pt idx="5">
                  <c:v>22</c:v>
                </c:pt>
                <c:pt idx="6">
                  <c:v>26</c:v>
                </c:pt>
                <c:pt idx="7">
                  <c:v>23</c:v>
                </c:pt>
                <c:pt idx="8">
                  <c:v>24</c:v>
                </c:pt>
                <c:pt idx="9">
                  <c:v>30</c:v>
                </c:pt>
                <c:pt idx="10">
                  <c:v>32</c:v>
                </c:pt>
                <c:pt idx="11">
                  <c:v>25</c:v>
                </c:pt>
                <c:pt idx="12">
                  <c:v>34</c:v>
                </c:pt>
                <c:pt idx="13">
                  <c:v>39</c:v>
                </c:pt>
                <c:pt idx="14">
                  <c:v>22</c:v>
                </c:pt>
                <c:pt idx="15">
                  <c:v>38</c:v>
                </c:pt>
                <c:pt idx="16">
                  <c:v>34</c:v>
                </c:pt>
                <c:pt idx="17">
                  <c:v>50</c:v>
                </c:pt>
                <c:pt idx="18">
                  <c:v>43</c:v>
                </c:pt>
                <c:pt idx="19">
                  <c:v>43</c:v>
                </c:pt>
                <c:pt idx="20">
                  <c:v>53</c:v>
                </c:pt>
                <c:pt idx="21">
                  <c:v>63</c:v>
                </c:pt>
                <c:pt idx="22">
                  <c:v>48</c:v>
                </c:pt>
                <c:pt idx="23">
                  <c:v>59</c:v>
                </c:pt>
                <c:pt idx="24">
                  <c:v>59</c:v>
                </c:pt>
                <c:pt idx="25">
                  <c:v>61</c:v>
                </c:pt>
                <c:pt idx="26">
                  <c:v>64</c:v>
                </c:pt>
                <c:pt idx="27">
                  <c:v>64</c:v>
                </c:pt>
                <c:pt idx="28">
                  <c:v>52</c:v>
                </c:pt>
                <c:pt idx="29">
                  <c:v>62</c:v>
                </c:pt>
                <c:pt idx="30">
                  <c:v>55</c:v>
                </c:pt>
                <c:pt idx="31">
                  <c:v>60</c:v>
                </c:pt>
                <c:pt idx="32">
                  <c:v>52</c:v>
                </c:pt>
                <c:pt idx="33">
                  <c:v>62</c:v>
                </c:pt>
                <c:pt idx="34">
                  <c:v>59</c:v>
                </c:pt>
                <c:pt idx="35">
                  <c:v>58</c:v>
                </c:pt>
                <c:pt idx="36">
                  <c:v>53</c:v>
                </c:pt>
                <c:pt idx="37">
                  <c:v>55</c:v>
                </c:pt>
                <c:pt idx="38">
                  <c:v>65</c:v>
                </c:pt>
                <c:pt idx="39">
                  <c:v>54</c:v>
                </c:pt>
                <c:pt idx="40">
                  <c:v>74</c:v>
                </c:pt>
                <c:pt idx="41">
                  <c:v>59</c:v>
                </c:pt>
                <c:pt idx="42">
                  <c:v>54</c:v>
                </c:pt>
                <c:pt idx="43">
                  <c:v>68</c:v>
                </c:pt>
                <c:pt idx="44">
                  <c:v>59</c:v>
                </c:pt>
                <c:pt idx="45">
                  <c:v>61</c:v>
                </c:pt>
                <c:pt idx="46">
                  <c:v>58</c:v>
                </c:pt>
                <c:pt idx="47">
                  <c:v>67</c:v>
                </c:pt>
                <c:pt idx="48">
                  <c:v>62</c:v>
                </c:pt>
                <c:pt idx="49">
                  <c:v>53</c:v>
                </c:pt>
                <c:pt idx="50">
                  <c:v>60</c:v>
                </c:pt>
                <c:pt idx="51">
                  <c:v>67</c:v>
                </c:pt>
                <c:pt idx="52">
                  <c:v>67</c:v>
                </c:pt>
                <c:pt idx="53">
                  <c:v>61</c:v>
                </c:pt>
                <c:pt idx="54">
                  <c:v>63</c:v>
                </c:pt>
                <c:pt idx="55">
                  <c:v>61</c:v>
                </c:pt>
                <c:pt idx="56">
                  <c:v>54</c:v>
                </c:pt>
                <c:pt idx="57">
                  <c:v>72</c:v>
                </c:pt>
                <c:pt idx="58">
                  <c:v>54</c:v>
                </c:pt>
                <c:pt idx="59">
                  <c:v>66</c:v>
                </c:pt>
                <c:pt idx="60">
                  <c:v>61</c:v>
                </c:pt>
                <c:pt idx="61">
                  <c:v>58</c:v>
                </c:pt>
                <c:pt idx="62">
                  <c:v>64</c:v>
                </c:pt>
                <c:pt idx="63">
                  <c:v>62</c:v>
                </c:pt>
                <c:pt idx="64">
                  <c:v>46</c:v>
                </c:pt>
                <c:pt idx="65">
                  <c:v>49</c:v>
                </c:pt>
                <c:pt idx="66">
                  <c:v>59</c:v>
                </c:pt>
                <c:pt idx="67">
                  <c:v>60</c:v>
                </c:pt>
                <c:pt idx="68">
                  <c:v>53</c:v>
                </c:pt>
                <c:pt idx="69">
                  <c:v>61</c:v>
                </c:pt>
                <c:pt idx="70">
                  <c:v>58</c:v>
                </c:pt>
                <c:pt idx="71">
                  <c:v>64</c:v>
                </c:pt>
                <c:pt idx="72">
                  <c:v>65</c:v>
                </c:pt>
                <c:pt idx="73">
                  <c:v>74</c:v>
                </c:pt>
                <c:pt idx="74">
                  <c:v>58</c:v>
                </c:pt>
                <c:pt idx="75">
                  <c:v>62</c:v>
                </c:pt>
                <c:pt idx="76">
                  <c:v>69</c:v>
                </c:pt>
                <c:pt idx="77">
                  <c:v>66</c:v>
                </c:pt>
                <c:pt idx="78">
                  <c:v>67</c:v>
                </c:pt>
                <c:pt idx="79">
                  <c:v>71</c:v>
                </c:pt>
                <c:pt idx="80">
                  <c:v>67</c:v>
                </c:pt>
                <c:pt idx="81">
                  <c:v>55</c:v>
                </c:pt>
                <c:pt idx="82">
                  <c:v>58</c:v>
                </c:pt>
                <c:pt idx="83">
                  <c:v>73</c:v>
                </c:pt>
                <c:pt idx="84">
                  <c:v>58</c:v>
                </c:pt>
                <c:pt idx="85">
                  <c:v>76</c:v>
                </c:pt>
                <c:pt idx="86">
                  <c:v>62</c:v>
                </c:pt>
                <c:pt idx="87">
                  <c:v>66</c:v>
                </c:pt>
                <c:pt idx="88">
                  <c:v>59</c:v>
                </c:pt>
                <c:pt idx="89">
                  <c:v>61</c:v>
                </c:pt>
                <c:pt idx="90">
                  <c:v>52</c:v>
                </c:pt>
                <c:pt idx="91">
                  <c:v>69</c:v>
                </c:pt>
                <c:pt idx="92">
                  <c:v>70</c:v>
                </c:pt>
                <c:pt idx="93">
                  <c:v>45</c:v>
                </c:pt>
                <c:pt idx="94">
                  <c:v>77</c:v>
                </c:pt>
                <c:pt idx="95">
                  <c:v>61</c:v>
                </c:pt>
                <c:pt idx="96">
                  <c:v>56</c:v>
                </c:pt>
                <c:pt idx="97">
                  <c:v>66</c:v>
                </c:pt>
                <c:pt idx="98">
                  <c:v>51</c:v>
                </c:pt>
                <c:pt idx="99">
                  <c:v>59</c:v>
                </c:pt>
                <c:pt idx="100">
                  <c:v>65</c:v>
                </c:pt>
                <c:pt idx="101">
                  <c:v>53</c:v>
                </c:pt>
                <c:pt idx="102">
                  <c:v>72</c:v>
                </c:pt>
                <c:pt idx="103">
                  <c:v>62</c:v>
                </c:pt>
                <c:pt idx="104">
                  <c:v>62</c:v>
                </c:pt>
                <c:pt idx="105">
                  <c:v>70</c:v>
                </c:pt>
                <c:pt idx="106">
                  <c:v>62</c:v>
                </c:pt>
                <c:pt idx="107">
                  <c:v>82</c:v>
                </c:pt>
                <c:pt idx="108">
                  <c:v>52</c:v>
                </c:pt>
                <c:pt idx="109">
                  <c:v>65</c:v>
                </c:pt>
                <c:pt idx="110">
                  <c:v>64</c:v>
                </c:pt>
                <c:pt idx="111">
                  <c:v>57</c:v>
                </c:pt>
                <c:pt idx="112">
                  <c:v>58</c:v>
                </c:pt>
                <c:pt idx="113">
                  <c:v>66</c:v>
                </c:pt>
                <c:pt idx="114">
                  <c:v>60</c:v>
                </c:pt>
                <c:pt idx="115">
                  <c:v>55</c:v>
                </c:pt>
                <c:pt idx="116">
                  <c:v>65</c:v>
                </c:pt>
                <c:pt idx="117">
                  <c:v>54</c:v>
                </c:pt>
                <c:pt idx="118">
                  <c:v>66</c:v>
                </c:pt>
                <c:pt idx="119">
                  <c:v>72</c:v>
                </c:pt>
                <c:pt idx="120">
                  <c:v>58</c:v>
                </c:pt>
                <c:pt idx="121">
                  <c:v>55</c:v>
                </c:pt>
                <c:pt idx="122">
                  <c:v>56</c:v>
                </c:pt>
                <c:pt idx="123">
                  <c:v>63</c:v>
                </c:pt>
                <c:pt idx="124">
                  <c:v>69</c:v>
                </c:pt>
                <c:pt idx="125">
                  <c:v>62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55</c:v>
                </c:pt>
                <c:pt idx="130">
                  <c:v>62</c:v>
                </c:pt>
                <c:pt idx="131">
                  <c:v>53</c:v>
                </c:pt>
                <c:pt idx="132">
                  <c:v>54</c:v>
                </c:pt>
                <c:pt idx="133">
                  <c:v>46</c:v>
                </c:pt>
                <c:pt idx="134">
                  <c:v>55</c:v>
                </c:pt>
                <c:pt idx="135">
                  <c:v>51</c:v>
                </c:pt>
                <c:pt idx="136">
                  <c:v>58</c:v>
                </c:pt>
                <c:pt idx="137">
                  <c:v>51</c:v>
                </c:pt>
                <c:pt idx="138">
                  <c:v>40</c:v>
                </c:pt>
                <c:pt idx="139">
                  <c:v>50</c:v>
                </c:pt>
                <c:pt idx="140">
                  <c:v>34</c:v>
                </c:pt>
                <c:pt idx="141">
                  <c:v>41</c:v>
                </c:pt>
                <c:pt idx="142">
                  <c:v>39</c:v>
                </c:pt>
                <c:pt idx="143">
                  <c:v>32</c:v>
                </c:pt>
                <c:pt idx="144">
                  <c:v>32</c:v>
                </c:pt>
                <c:pt idx="145">
                  <c:v>31</c:v>
                </c:pt>
                <c:pt idx="146">
                  <c:v>35</c:v>
                </c:pt>
                <c:pt idx="147">
                  <c:v>32</c:v>
                </c:pt>
                <c:pt idx="148">
                  <c:v>23</c:v>
                </c:pt>
                <c:pt idx="149">
                  <c:v>35</c:v>
                </c:pt>
                <c:pt idx="150">
                  <c:v>32</c:v>
                </c:pt>
                <c:pt idx="151">
                  <c:v>25</c:v>
                </c:pt>
                <c:pt idx="152">
                  <c:v>19</c:v>
                </c:pt>
                <c:pt idx="153">
                  <c:v>30</c:v>
                </c:pt>
                <c:pt idx="154">
                  <c:v>23</c:v>
                </c:pt>
                <c:pt idx="155">
                  <c:v>32</c:v>
                </c:pt>
                <c:pt idx="156">
                  <c:v>35</c:v>
                </c:pt>
                <c:pt idx="157">
                  <c:v>29</c:v>
                </c:pt>
                <c:pt idx="158">
                  <c:v>36</c:v>
                </c:pt>
                <c:pt idx="159">
                  <c:v>30</c:v>
                </c:pt>
                <c:pt idx="160">
                  <c:v>25</c:v>
                </c:pt>
                <c:pt idx="161">
                  <c:v>31</c:v>
                </c:pt>
                <c:pt idx="162">
                  <c:v>34</c:v>
                </c:pt>
                <c:pt idx="163">
                  <c:v>22</c:v>
                </c:pt>
                <c:pt idx="164">
                  <c:v>26</c:v>
                </c:pt>
                <c:pt idx="165">
                  <c:v>27</c:v>
                </c:pt>
                <c:pt idx="166">
                  <c:v>28</c:v>
                </c:pt>
                <c:pt idx="167">
                  <c:v>20</c:v>
                </c:pt>
                <c:pt idx="168">
                  <c:v>32</c:v>
                </c:pt>
                <c:pt idx="169">
                  <c:v>28</c:v>
                </c:pt>
                <c:pt idx="170">
                  <c:v>28</c:v>
                </c:pt>
                <c:pt idx="171">
                  <c:v>29</c:v>
                </c:pt>
                <c:pt idx="172">
                  <c:v>36</c:v>
                </c:pt>
                <c:pt idx="173">
                  <c:v>24</c:v>
                </c:pt>
                <c:pt idx="174">
                  <c:v>33</c:v>
                </c:pt>
                <c:pt idx="175">
                  <c:v>26</c:v>
                </c:pt>
                <c:pt idx="176">
                  <c:v>24</c:v>
                </c:pt>
                <c:pt idx="177">
                  <c:v>32</c:v>
                </c:pt>
                <c:pt idx="178">
                  <c:v>29</c:v>
                </c:pt>
                <c:pt idx="179">
                  <c:v>22</c:v>
                </c:pt>
                <c:pt idx="180">
                  <c:v>37</c:v>
                </c:pt>
                <c:pt idx="181">
                  <c:v>24</c:v>
                </c:pt>
                <c:pt idx="182">
                  <c:v>35</c:v>
                </c:pt>
                <c:pt idx="183">
                  <c:v>40</c:v>
                </c:pt>
                <c:pt idx="184">
                  <c:v>46</c:v>
                </c:pt>
                <c:pt idx="185">
                  <c:v>36</c:v>
                </c:pt>
                <c:pt idx="186">
                  <c:v>46</c:v>
                </c:pt>
                <c:pt idx="187">
                  <c:v>35</c:v>
                </c:pt>
                <c:pt idx="188">
                  <c:v>53</c:v>
                </c:pt>
                <c:pt idx="189">
                  <c:v>53</c:v>
                </c:pt>
                <c:pt idx="190">
                  <c:v>52</c:v>
                </c:pt>
                <c:pt idx="191">
                  <c:v>65</c:v>
                </c:pt>
                <c:pt idx="192">
                  <c:v>52</c:v>
                </c:pt>
                <c:pt idx="193">
                  <c:v>62</c:v>
                </c:pt>
                <c:pt idx="194">
                  <c:v>77</c:v>
                </c:pt>
                <c:pt idx="195">
                  <c:v>61</c:v>
                </c:pt>
                <c:pt idx="196">
                  <c:v>70</c:v>
                </c:pt>
                <c:pt idx="197">
                  <c:v>66</c:v>
                </c:pt>
                <c:pt idx="198">
                  <c:v>73</c:v>
                </c:pt>
                <c:pt idx="199">
                  <c:v>73</c:v>
                </c:pt>
                <c:pt idx="200">
                  <c:v>80</c:v>
                </c:pt>
                <c:pt idx="201">
                  <c:v>75</c:v>
                </c:pt>
                <c:pt idx="202">
                  <c:v>90</c:v>
                </c:pt>
                <c:pt idx="203">
                  <c:v>78</c:v>
                </c:pt>
                <c:pt idx="204">
                  <c:v>90</c:v>
                </c:pt>
                <c:pt idx="205">
                  <c:v>88</c:v>
                </c:pt>
                <c:pt idx="206">
                  <c:v>83</c:v>
                </c:pt>
                <c:pt idx="207">
                  <c:v>92</c:v>
                </c:pt>
                <c:pt idx="208">
                  <c:v>99</c:v>
                </c:pt>
                <c:pt idx="209">
                  <c:v>93</c:v>
                </c:pt>
                <c:pt idx="210">
                  <c:v>115</c:v>
                </c:pt>
                <c:pt idx="211">
                  <c:v>108</c:v>
                </c:pt>
                <c:pt idx="212">
                  <c:v>112</c:v>
                </c:pt>
                <c:pt idx="213">
                  <c:v>86</c:v>
                </c:pt>
                <c:pt idx="214">
                  <c:v>98</c:v>
                </c:pt>
                <c:pt idx="215">
                  <c:v>100</c:v>
                </c:pt>
                <c:pt idx="216">
                  <c:v>95</c:v>
                </c:pt>
                <c:pt idx="217">
                  <c:v>98</c:v>
                </c:pt>
                <c:pt idx="218">
                  <c:v>90</c:v>
                </c:pt>
                <c:pt idx="219">
                  <c:v>107</c:v>
                </c:pt>
                <c:pt idx="220">
                  <c:v>101</c:v>
                </c:pt>
                <c:pt idx="221">
                  <c:v>104</c:v>
                </c:pt>
                <c:pt idx="222">
                  <c:v>98</c:v>
                </c:pt>
                <c:pt idx="223">
                  <c:v>101</c:v>
                </c:pt>
                <c:pt idx="224">
                  <c:v>94</c:v>
                </c:pt>
                <c:pt idx="225">
                  <c:v>108</c:v>
                </c:pt>
                <c:pt idx="226">
                  <c:v>103</c:v>
                </c:pt>
                <c:pt idx="227">
                  <c:v>95</c:v>
                </c:pt>
                <c:pt idx="228">
                  <c:v>107</c:v>
                </c:pt>
                <c:pt idx="229">
                  <c:v>116</c:v>
                </c:pt>
                <c:pt idx="230">
                  <c:v>109</c:v>
                </c:pt>
                <c:pt idx="231">
                  <c:v>84</c:v>
                </c:pt>
                <c:pt idx="232">
                  <c:v>98</c:v>
                </c:pt>
                <c:pt idx="233">
                  <c:v>115</c:v>
                </c:pt>
                <c:pt idx="234">
                  <c:v>95</c:v>
                </c:pt>
                <c:pt idx="235">
                  <c:v>106</c:v>
                </c:pt>
                <c:pt idx="236">
                  <c:v>118</c:v>
                </c:pt>
                <c:pt idx="237">
                  <c:v>127</c:v>
                </c:pt>
                <c:pt idx="238">
                  <c:v>104</c:v>
                </c:pt>
                <c:pt idx="239">
                  <c:v>131</c:v>
                </c:pt>
                <c:pt idx="240">
                  <c:v>130</c:v>
                </c:pt>
                <c:pt idx="241">
                  <c:v>138</c:v>
                </c:pt>
                <c:pt idx="242">
                  <c:v>167</c:v>
                </c:pt>
                <c:pt idx="243">
                  <c:v>170</c:v>
                </c:pt>
                <c:pt idx="244">
                  <c:v>165</c:v>
                </c:pt>
                <c:pt idx="245">
                  <c:v>149</c:v>
                </c:pt>
                <c:pt idx="246">
                  <c:v>151</c:v>
                </c:pt>
                <c:pt idx="247">
                  <c:v>173</c:v>
                </c:pt>
                <c:pt idx="248">
                  <c:v>150</c:v>
                </c:pt>
                <c:pt idx="249">
                  <c:v>162</c:v>
                </c:pt>
                <c:pt idx="250">
                  <c:v>175</c:v>
                </c:pt>
                <c:pt idx="251">
                  <c:v>176</c:v>
                </c:pt>
                <c:pt idx="252">
                  <c:v>180</c:v>
                </c:pt>
                <c:pt idx="253">
                  <c:v>168</c:v>
                </c:pt>
                <c:pt idx="254">
                  <c:v>185</c:v>
                </c:pt>
                <c:pt idx="255">
                  <c:v>181</c:v>
                </c:pt>
                <c:pt idx="256">
                  <c:v>172</c:v>
                </c:pt>
                <c:pt idx="257">
                  <c:v>187</c:v>
                </c:pt>
                <c:pt idx="258">
                  <c:v>218</c:v>
                </c:pt>
                <c:pt idx="259">
                  <c:v>184</c:v>
                </c:pt>
                <c:pt idx="260">
                  <c:v>194</c:v>
                </c:pt>
                <c:pt idx="261">
                  <c:v>131</c:v>
                </c:pt>
                <c:pt idx="262">
                  <c:v>176</c:v>
                </c:pt>
                <c:pt idx="263">
                  <c:v>136</c:v>
                </c:pt>
                <c:pt idx="264">
                  <c:v>153</c:v>
                </c:pt>
                <c:pt idx="265">
                  <c:v>159</c:v>
                </c:pt>
                <c:pt idx="266">
                  <c:v>143</c:v>
                </c:pt>
                <c:pt idx="267">
                  <c:v>156</c:v>
                </c:pt>
                <c:pt idx="268">
                  <c:v>151</c:v>
                </c:pt>
                <c:pt idx="269">
                  <c:v>148</c:v>
                </c:pt>
                <c:pt idx="270">
                  <c:v>184</c:v>
                </c:pt>
                <c:pt idx="271">
                  <c:v>204</c:v>
                </c:pt>
                <c:pt idx="272">
                  <c:v>215</c:v>
                </c:pt>
                <c:pt idx="273">
                  <c:v>198</c:v>
                </c:pt>
                <c:pt idx="274">
                  <c:v>199</c:v>
                </c:pt>
                <c:pt idx="275">
                  <c:v>188</c:v>
                </c:pt>
                <c:pt idx="276">
                  <c:v>197</c:v>
                </c:pt>
                <c:pt idx="277">
                  <c:v>192</c:v>
                </c:pt>
                <c:pt idx="278">
                  <c:v>200</c:v>
                </c:pt>
                <c:pt idx="279">
                  <c:v>192</c:v>
                </c:pt>
                <c:pt idx="280">
                  <c:v>172</c:v>
                </c:pt>
                <c:pt idx="281">
                  <c:v>160</c:v>
                </c:pt>
                <c:pt idx="282">
                  <c:v>168</c:v>
                </c:pt>
                <c:pt idx="283">
                  <c:v>171</c:v>
                </c:pt>
                <c:pt idx="284">
                  <c:v>154</c:v>
                </c:pt>
                <c:pt idx="285">
                  <c:v>146</c:v>
                </c:pt>
                <c:pt idx="286">
                  <c:v>166</c:v>
                </c:pt>
                <c:pt idx="287">
                  <c:v>134</c:v>
                </c:pt>
                <c:pt idx="288">
                  <c:v>149</c:v>
                </c:pt>
                <c:pt idx="289">
                  <c:v>132</c:v>
                </c:pt>
                <c:pt idx="290">
                  <c:v>131</c:v>
                </c:pt>
                <c:pt idx="291">
                  <c:v>104</c:v>
                </c:pt>
                <c:pt idx="292">
                  <c:v>105</c:v>
                </c:pt>
                <c:pt idx="293">
                  <c:v>105</c:v>
                </c:pt>
                <c:pt idx="294">
                  <c:v>90</c:v>
                </c:pt>
                <c:pt idx="295">
                  <c:v>101</c:v>
                </c:pt>
                <c:pt idx="296">
                  <c:v>92</c:v>
                </c:pt>
                <c:pt idx="297">
                  <c:v>68</c:v>
                </c:pt>
                <c:pt idx="298">
                  <c:v>75</c:v>
                </c:pt>
                <c:pt idx="299">
                  <c:v>73</c:v>
                </c:pt>
                <c:pt idx="30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0-46F6-9DD0-0AC0D5C32785}"/>
            </c:ext>
          </c:extLst>
        </c:ser>
        <c:ser>
          <c:idx val="1"/>
          <c:order val="1"/>
          <c:tx>
            <c:strRef>
              <c:f>[3]DAU!$E$1</c:f>
              <c:strCache>
                <c:ptCount val="1"/>
                <c:pt idx="0">
                  <c:v>WAU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58"/>
              <c:spPr>
                <a:solidFill>
                  <a:schemeClr val="accent4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50-46F6-9DD0-0AC0D5C32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[3]DAU!$A$2:$A$304</c15:sqref>
                  </c15:fullRef>
                </c:ext>
              </c:extLst>
              <c:f>[3]DAU!$A$4:$A$304</c:f>
              <c:numCache>
                <c:formatCode>General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[3]DAU!$E$2:$E$304</c15:sqref>
                  </c15:fullRef>
                </c:ext>
              </c:extLst>
              <c:f>[3]DAU!$E$4:$E$304</c:f>
              <c:numCache>
                <c:formatCode>General</c:formatCode>
                <c:ptCount val="301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92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183</c:v>
                </c:pt>
                <c:pt idx="22">
                  <c:v>183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202</c:v>
                </c:pt>
                <c:pt idx="29">
                  <c:v>202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193</c:v>
                </c:pt>
                <c:pt idx="36">
                  <c:v>193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201</c:v>
                </c:pt>
                <c:pt idx="43">
                  <c:v>201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206</c:v>
                </c:pt>
                <c:pt idx="50">
                  <c:v>206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192</c:v>
                </c:pt>
                <c:pt idx="57">
                  <c:v>192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196</c:v>
                </c:pt>
                <c:pt idx="64">
                  <c:v>196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205</c:v>
                </c:pt>
                <c:pt idx="71">
                  <c:v>205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213</c:v>
                </c:pt>
                <c:pt idx="78">
                  <c:v>213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208</c:v>
                </c:pt>
                <c:pt idx="85">
                  <c:v>208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207</c:v>
                </c:pt>
                <c:pt idx="92">
                  <c:v>207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204</c:v>
                </c:pt>
                <c:pt idx="99">
                  <c:v>204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201</c:v>
                </c:pt>
                <c:pt idx="106">
                  <c:v>201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213</c:v>
                </c:pt>
                <c:pt idx="113">
                  <c:v>213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214</c:v>
                </c:pt>
                <c:pt idx="120">
                  <c:v>214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203</c:v>
                </c:pt>
                <c:pt idx="127">
                  <c:v>203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202</c:v>
                </c:pt>
                <c:pt idx="134">
                  <c:v>202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167</c:v>
                </c:pt>
                <c:pt idx="141">
                  <c:v>167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157</c:v>
                </c:pt>
                <c:pt idx="148">
                  <c:v>157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156</c:v>
                </c:pt>
                <c:pt idx="155">
                  <c:v>156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153</c:v>
                </c:pt>
                <c:pt idx="162">
                  <c:v>153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145</c:v>
                </c:pt>
                <c:pt idx="169">
                  <c:v>145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141</c:v>
                </c:pt>
                <c:pt idx="176">
                  <c:v>141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233</c:v>
                </c:pt>
                <c:pt idx="190">
                  <c:v>233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272</c:v>
                </c:pt>
                <c:pt idx="197">
                  <c:v>272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295</c:v>
                </c:pt>
                <c:pt idx="204">
                  <c:v>295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346</c:v>
                </c:pt>
                <c:pt idx="211">
                  <c:v>346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340</c:v>
                </c:pt>
                <c:pt idx="218">
                  <c:v>340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347</c:v>
                </c:pt>
                <c:pt idx="225">
                  <c:v>347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384</c:v>
                </c:pt>
                <c:pt idx="232">
                  <c:v>384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611</c:v>
                </c:pt>
                <c:pt idx="239">
                  <c:v>611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712</c:v>
                </c:pt>
                <c:pt idx="246">
                  <c:v>712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772</c:v>
                </c:pt>
                <c:pt idx="253">
                  <c:v>772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656</c:v>
                </c:pt>
                <c:pt idx="260">
                  <c:v>656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661</c:v>
                </c:pt>
                <c:pt idx="267">
                  <c:v>661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699</c:v>
                </c:pt>
                <c:pt idx="274">
                  <c:v>699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614</c:v>
                </c:pt>
                <c:pt idx="281">
                  <c:v>614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545</c:v>
                </c:pt>
                <c:pt idx="288">
                  <c:v>545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422</c:v>
                </c:pt>
                <c:pt idx="295">
                  <c:v>422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50-46F6-9DD0-0AC0D5C32785}"/>
            </c:ext>
          </c:extLst>
        </c:ser>
        <c:ser>
          <c:idx val="2"/>
          <c:order val="2"/>
          <c:tx>
            <c:strRef>
              <c:f>[3]DAU!$F$1</c:f>
              <c:strCache>
                <c:ptCount val="1"/>
                <c:pt idx="0">
                  <c:v>MAU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52"/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50-46F6-9DD0-0AC0D5C32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[3]DAU!$A$2:$A$304</c15:sqref>
                  </c15:fullRef>
                </c:ext>
              </c:extLst>
              <c:f>[3]DAU!$A$4:$A$304</c:f>
              <c:numCache>
                <c:formatCode>General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[3]DAU!$F$2:$F$304</c15:sqref>
                  </c15:fullRef>
                </c:ext>
              </c:extLst>
              <c:f>[3]DAU!$F$4:$F$304</c:f>
              <c:numCache>
                <c:formatCode>General</c:formatCode>
                <c:ptCount val="301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366</c:v>
                </c:pt>
                <c:pt idx="29">
                  <c:v>366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378</c:v>
                </c:pt>
                <c:pt idx="60">
                  <c:v>378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393</c:v>
                </c:pt>
                <c:pt idx="90">
                  <c:v>393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426</c:v>
                </c:pt>
                <c:pt idx="121">
                  <c:v>426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390</c:v>
                </c:pt>
                <c:pt idx="151">
                  <c:v>390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536</c:v>
                </c:pt>
                <c:pt idx="182">
                  <c:v>536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696</c:v>
                </c:pt>
                <c:pt idx="213">
                  <c:v>696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1544</c:v>
                </c:pt>
                <c:pt idx="241">
                  <c:v>1544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1027</c:v>
                </c:pt>
                <c:pt idx="272">
                  <c:v>1027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50-46F6-9DD0-0AC0D5C3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657120"/>
        <c:axId val="1123655456"/>
      </c:lineChart>
      <c:dateAx>
        <c:axId val="112365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  <a:p>
                <a:pPr>
                  <a:defRPr/>
                </a:pPr>
                <a:endParaRPr lang="ru-RU"/>
              </a:p>
            </c:rich>
          </c:tx>
          <c:layout>
            <c:manualLayout>
              <c:xMode val="edge"/>
              <c:yMode val="edge"/>
              <c:x val="0.49722112110128103"/>
              <c:y val="0.901072607260726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655456"/>
        <c:crosses val="autoZero"/>
        <c:auto val="0"/>
        <c:lblOffset val="100"/>
        <c:baseTimeUnit val="days"/>
        <c:majorUnit val="1"/>
        <c:majorTimeUnit val="months"/>
        <c:minorUnit val="1"/>
        <c:minorTimeUnit val="days"/>
      </c:dateAx>
      <c:valAx>
        <c:axId val="1123655456"/>
        <c:scaling>
          <c:orientation val="minMax"/>
          <c:max val="1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для </a:t>
                </a:r>
                <a:r>
                  <a:rPr lang="en-US"/>
                  <a:t>DAU,</a:t>
                </a:r>
                <a:r>
                  <a:rPr lang="ru-RU"/>
                  <a:t> </a:t>
                </a:r>
                <a:r>
                  <a:rPr lang="en-US"/>
                  <a:t>WAU,</a:t>
                </a:r>
                <a:r>
                  <a:rPr lang="en-US" baseline="0"/>
                  <a:t> 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alpha val="12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</a:t>
            </a:r>
            <a:r>
              <a:rPr lang="en-US" sz="1600" b="1"/>
              <a:t>SF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[3]DAU!$G$1</c:f>
              <c:strCache>
                <c:ptCount val="1"/>
                <c:pt idx="0">
                  <c:v>SF (еженедельно)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[3]DAU!$A$2:$A$304</c15:sqref>
                  </c15:fullRef>
                </c:ext>
              </c:extLst>
              <c:f>[3]DAU!$A$4:$A$304</c:f>
              <c:numCache>
                <c:formatCode>General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[3]DAU!$G$2:$G$304</c15:sqref>
                  </c15:fullRef>
                </c:ext>
              </c:extLst>
              <c:f>[3]DAU!$G$4:$G$304</c:f>
              <c:numCache>
                <c:formatCode>General</c:formatCode>
                <c:ptCount val="301"/>
                <c:pt idx="0">
                  <c:v>8.4745762711864403E-2</c:v>
                </c:pt>
                <c:pt idx="1">
                  <c:v>0.16949152542372881</c:v>
                </c:pt>
                <c:pt idx="2">
                  <c:v>8.4745762711864403E-2</c:v>
                </c:pt>
                <c:pt idx="3">
                  <c:v>0.22033898305084745</c:v>
                </c:pt>
                <c:pt idx="4">
                  <c:v>0.3728813559322034</c:v>
                </c:pt>
                <c:pt idx="5">
                  <c:v>0.3728813559322034</c:v>
                </c:pt>
                <c:pt idx="6">
                  <c:v>0.44067796610169491</c:v>
                </c:pt>
                <c:pt idx="7">
                  <c:v>0.25</c:v>
                </c:pt>
                <c:pt idx="8">
                  <c:v>0.2608695652173913</c:v>
                </c:pt>
                <c:pt idx="9">
                  <c:v>0.32608695652173914</c:v>
                </c:pt>
                <c:pt idx="10">
                  <c:v>0.34782608695652173</c:v>
                </c:pt>
                <c:pt idx="11">
                  <c:v>0.27173913043478259</c:v>
                </c:pt>
                <c:pt idx="12">
                  <c:v>0.36956521739130432</c:v>
                </c:pt>
                <c:pt idx="13">
                  <c:v>0.42391304347826086</c:v>
                </c:pt>
                <c:pt idx="14">
                  <c:v>0.16541353383458646</c:v>
                </c:pt>
                <c:pt idx="15">
                  <c:v>0.2857142857142857</c:v>
                </c:pt>
                <c:pt idx="16">
                  <c:v>0.25563909774436089</c:v>
                </c:pt>
                <c:pt idx="17">
                  <c:v>0.37593984962406013</c:v>
                </c:pt>
                <c:pt idx="18">
                  <c:v>0.32330827067669171</c:v>
                </c:pt>
                <c:pt idx="19">
                  <c:v>0.32330827067669171</c:v>
                </c:pt>
                <c:pt idx="20">
                  <c:v>0.39849624060150374</c:v>
                </c:pt>
                <c:pt idx="21">
                  <c:v>0.34426229508196721</c:v>
                </c:pt>
                <c:pt idx="22">
                  <c:v>0.26229508196721313</c:v>
                </c:pt>
                <c:pt idx="23">
                  <c:v>0.32240437158469948</c:v>
                </c:pt>
                <c:pt idx="24">
                  <c:v>0.32240437158469948</c:v>
                </c:pt>
                <c:pt idx="25">
                  <c:v>0.33333333333333331</c:v>
                </c:pt>
                <c:pt idx="26">
                  <c:v>0.34972677595628415</c:v>
                </c:pt>
                <c:pt idx="27">
                  <c:v>0.34972677595628415</c:v>
                </c:pt>
                <c:pt idx="28">
                  <c:v>0.25742574257425743</c:v>
                </c:pt>
                <c:pt idx="29">
                  <c:v>0.30693069306930693</c:v>
                </c:pt>
                <c:pt idx="30">
                  <c:v>0.2722772277227723</c:v>
                </c:pt>
                <c:pt idx="31">
                  <c:v>0.29702970297029702</c:v>
                </c:pt>
                <c:pt idx="32">
                  <c:v>0.25742574257425743</c:v>
                </c:pt>
                <c:pt idx="33">
                  <c:v>0.30693069306930693</c:v>
                </c:pt>
                <c:pt idx="34">
                  <c:v>0.29207920792079206</c:v>
                </c:pt>
                <c:pt idx="35">
                  <c:v>0.30051813471502592</c:v>
                </c:pt>
                <c:pt idx="36">
                  <c:v>0.27461139896373055</c:v>
                </c:pt>
                <c:pt idx="37">
                  <c:v>0.28497409326424872</c:v>
                </c:pt>
                <c:pt idx="38">
                  <c:v>0.33678756476683935</c:v>
                </c:pt>
                <c:pt idx="39">
                  <c:v>0.27979274611398963</c:v>
                </c:pt>
                <c:pt idx="40">
                  <c:v>0.38341968911917096</c:v>
                </c:pt>
                <c:pt idx="41">
                  <c:v>0.30569948186528495</c:v>
                </c:pt>
                <c:pt idx="42">
                  <c:v>0.26865671641791045</c:v>
                </c:pt>
                <c:pt idx="43">
                  <c:v>0.3383084577114428</c:v>
                </c:pt>
                <c:pt idx="44">
                  <c:v>0.29353233830845771</c:v>
                </c:pt>
                <c:pt idx="45">
                  <c:v>0.30348258706467662</c:v>
                </c:pt>
                <c:pt idx="46">
                  <c:v>0.28855721393034828</c:v>
                </c:pt>
                <c:pt idx="47">
                  <c:v>0.33333333333333331</c:v>
                </c:pt>
                <c:pt idx="48">
                  <c:v>0.30845771144278605</c:v>
                </c:pt>
                <c:pt idx="49">
                  <c:v>0.25728155339805825</c:v>
                </c:pt>
                <c:pt idx="50">
                  <c:v>0.29126213592233008</c:v>
                </c:pt>
                <c:pt idx="51">
                  <c:v>0.32524271844660196</c:v>
                </c:pt>
                <c:pt idx="52">
                  <c:v>0.32524271844660196</c:v>
                </c:pt>
                <c:pt idx="53">
                  <c:v>0.29611650485436891</c:v>
                </c:pt>
                <c:pt idx="54">
                  <c:v>0.30582524271844658</c:v>
                </c:pt>
                <c:pt idx="55">
                  <c:v>0.29611650485436891</c:v>
                </c:pt>
                <c:pt idx="56">
                  <c:v>0.28125</c:v>
                </c:pt>
                <c:pt idx="57">
                  <c:v>0.375</c:v>
                </c:pt>
                <c:pt idx="58">
                  <c:v>0.28125</c:v>
                </c:pt>
                <c:pt idx="59">
                  <c:v>0.34375</c:v>
                </c:pt>
                <c:pt idx="60">
                  <c:v>0.31770833333333331</c:v>
                </c:pt>
                <c:pt idx="61">
                  <c:v>0.30208333333333331</c:v>
                </c:pt>
                <c:pt idx="62">
                  <c:v>0.33333333333333331</c:v>
                </c:pt>
                <c:pt idx="63">
                  <c:v>0.31632653061224492</c:v>
                </c:pt>
                <c:pt idx="64">
                  <c:v>0.23469387755102042</c:v>
                </c:pt>
                <c:pt idx="65">
                  <c:v>0.25</c:v>
                </c:pt>
                <c:pt idx="66">
                  <c:v>0.30102040816326531</c:v>
                </c:pt>
                <c:pt idx="67">
                  <c:v>0.30612244897959184</c:v>
                </c:pt>
                <c:pt idx="68">
                  <c:v>0.27040816326530615</c:v>
                </c:pt>
                <c:pt idx="69">
                  <c:v>0.31122448979591838</c:v>
                </c:pt>
                <c:pt idx="70">
                  <c:v>0.28292682926829266</c:v>
                </c:pt>
                <c:pt idx="71">
                  <c:v>0.31219512195121951</c:v>
                </c:pt>
                <c:pt idx="72">
                  <c:v>0.31707317073170732</c:v>
                </c:pt>
                <c:pt idx="73">
                  <c:v>0.36097560975609755</c:v>
                </c:pt>
                <c:pt idx="74">
                  <c:v>0.28292682926829266</c:v>
                </c:pt>
                <c:pt idx="75">
                  <c:v>0.30243902439024389</c:v>
                </c:pt>
                <c:pt idx="76">
                  <c:v>0.33658536585365856</c:v>
                </c:pt>
                <c:pt idx="77">
                  <c:v>0.30985915492957744</c:v>
                </c:pt>
                <c:pt idx="78">
                  <c:v>0.31455399061032863</c:v>
                </c:pt>
                <c:pt idx="79">
                  <c:v>0.33333333333333331</c:v>
                </c:pt>
                <c:pt idx="80">
                  <c:v>0.31455399061032863</c:v>
                </c:pt>
                <c:pt idx="81">
                  <c:v>0.25821596244131456</c:v>
                </c:pt>
                <c:pt idx="82">
                  <c:v>0.27230046948356806</c:v>
                </c:pt>
                <c:pt idx="83">
                  <c:v>0.34272300469483569</c:v>
                </c:pt>
                <c:pt idx="84">
                  <c:v>0.27884615384615385</c:v>
                </c:pt>
                <c:pt idx="85">
                  <c:v>0.36538461538461536</c:v>
                </c:pt>
                <c:pt idx="86">
                  <c:v>0.29807692307692307</c:v>
                </c:pt>
                <c:pt idx="87">
                  <c:v>0.31730769230769229</c:v>
                </c:pt>
                <c:pt idx="88">
                  <c:v>0.28365384615384615</c:v>
                </c:pt>
                <c:pt idx="89">
                  <c:v>0.29326923076923078</c:v>
                </c:pt>
                <c:pt idx="90">
                  <c:v>0.25</c:v>
                </c:pt>
                <c:pt idx="91">
                  <c:v>0.33333333333333331</c:v>
                </c:pt>
                <c:pt idx="92">
                  <c:v>0.33816425120772947</c:v>
                </c:pt>
                <c:pt idx="93">
                  <c:v>0.21739130434782608</c:v>
                </c:pt>
                <c:pt idx="94">
                  <c:v>0.3719806763285024</c:v>
                </c:pt>
                <c:pt idx="95">
                  <c:v>0.29468599033816423</c:v>
                </c:pt>
                <c:pt idx="96">
                  <c:v>0.27053140096618356</c:v>
                </c:pt>
                <c:pt idx="97">
                  <c:v>0.3188405797101449</c:v>
                </c:pt>
                <c:pt idx="98">
                  <c:v>0.25</c:v>
                </c:pt>
                <c:pt idx="99">
                  <c:v>0.28921568627450983</c:v>
                </c:pt>
                <c:pt idx="100">
                  <c:v>0.31862745098039214</c:v>
                </c:pt>
                <c:pt idx="101">
                  <c:v>0.25980392156862747</c:v>
                </c:pt>
                <c:pt idx="102">
                  <c:v>0.35294117647058826</c:v>
                </c:pt>
                <c:pt idx="103">
                  <c:v>0.30392156862745096</c:v>
                </c:pt>
                <c:pt idx="104">
                  <c:v>0.30392156862745096</c:v>
                </c:pt>
                <c:pt idx="105">
                  <c:v>0.34825870646766172</c:v>
                </c:pt>
                <c:pt idx="106">
                  <c:v>0.30845771144278605</c:v>
                </c:pt>
                <c:pt idx="107">
                  <c:v>0.4079601990049751</c:v>
                </c:pt>
                <c:pt idx="108">
                  <c:v>0.25870646766169153</c:v>
                </c:pt>
                <c:pt idx="109">
                  <c:v>0.32338308457711445</c:v>
                </c:pt>
                <c:pt idx="110">
                  <c:v>0.31840796019900497</c:v>
                </c:pt>
                <c:pt idx="111">
                  <c:v>0.28358208955223879</c:v>
                </c:pt>
                <c:pt idx="112">
                  <c:v>0.27230046948356806</c:v>
                </c:pt>
                <c:pt idx="113">
                  <c:v>0.30985915492957744</c:v>
                </c:pt>
                <c:pt idx="114">
                  <c:v>0.28169014084507044</c:v>
                </c:pt>
                <c:pt idx="115">
                  <c:v>0.25821596244131456</c:v>
                </c:pt>
                <c:pt idx="116">
                  <c:v>0.30516431924882631</c:v>
                </c:pt>
                <c:pt idx="117">
                  <c:v>0.25352112676056338</c:v>
                </c:pt>
                <c:pt idx="118">
                  <c:v>0.30985915492957744</c:v>
                </c:pt>
                <c:pt idx="119">
                  <c:v>0.3364485981308411</c:v>
                </c:pt>
                <c:pt idx="120">
                  <c:v>0.27102803738317754</c:v>
                </c:pt>
                <c:pt idx="121">
                  <c:v>0.2570093457943925</c:v>
                </c:pt>
                <c:pt idx="122">
                  <c:v>0.26168224299065418</c:v>
                </c:pt>
                <c:pt idx="123">
                  <c:v>0.29439252336448596</c:v>
                </c:pt>
                <c:pt idx="124">
                  <c:v>0.32242990654205606</c:v>
                </c:pt>
                <c:pt idx="125">
                  <c:v>0.28971962616822428</c:v>
                </c:pt>
                <c:pt idx="126">
                  <c:v>0.29556650246305421</c:v>
                </c:pt>
                <c:pt idx="127">
                  <c:v>0.29556650246305421</c:v>
                </c:pt>
                <c:pt idx="128">
                  <c:v>0.29556650246305421</c:v>
                </c:pt>
                <c:pt idx="129">
                  <c:v>0.27093596059113301</c:v>
                </c:pt>
                <c:pt idx="130">
                  <c:v>0.30541871921182268</c:v>
                </c:pt>
                <c:pt idx="131">
                  <c:v>0.26108374384236455</c:v>
                </c:pt>
                <c:pt idx="132">
                  <c:v>0.26600985221674878</c:v>
                </c:pt>
                <c:pt idx="133">
                  <c:v>0.22772277227722773</c:v>
                </c:pt>
                <c:pt idx="134">
                  <c:v>0.2722772277227723</c:v>
                </c:pt>
                <c:pt idx="135">
                  <c:v>0.25247524752475248</c:v>
                </c:pt>
                <c:pt idx="136">
                  <c:v>0.28712871287128711</c:v>
                </c:pt>
                <c:pt idx="137">
                  <c:v>0.25247524752475248</c:v>
                </c:pt>
                <c:pt idx="138">
                  <c:v>0.19801980198019803</c:v>
                </c:pt>
                <c:pt idx="139">
                  <c:v>0.24752475247524752</c:v>
                </c:pt>
                <c:pt idx="140">
                  <c:v>0.20359281437125748</c:v>
                </c:pt>
                <c:pt idx="141">
                  <c:v>0.24550898203592814</c:v>
                </c:pt>
                <c:pt idx="142">
                  <c:v>0.23353293413173654</c:v>
                </c:pt>
                <c:pt idx="143">
                  <c:v>0.19161676646706588</c:v>
                </c:pt>
                <c:pt idx="144">
                  <c:v>0.19161676646706588</c:v>
                </c:pt>
                <c:pt idx="145">
                  <c:v>0.18562874251497005</c:v>
                </c:pt>
                <c:pt idx="146">
                  <c:v>0.20958083832335328</c:v>
                </c:pt>
                <c:pt idx="147">
                  <c:v>0.20382165605095542</c:v>
                </c:pt>
                <c:pt idx="148">
                  <c:v>0.1464968152866242</c:v>
                </c:pt>
                <c:pt idx="149">
                  <c:v>0.22292993630573249</c:v>
                </c:pt>
                <c:pt idx="150">
                  <c:v>0.20382165605095542</c:v>
                </c:pt>
                <c:pt idx="151">
                  <c:v>0.15923566878980891</c:v>
                </c:pt>
                <c:pt idx="152">
                  <c:v>0.12101910828025478</c:v>
                </c:pt>
                <c:pt idx="153">
                  <c:v>0.19108280254777071</c:v>
                </c:pt>
                <c:pt idx="154">
                  <c:v>0.14743589743589744</c:v>
                </c:pt>
                <c:pt idx="155">
                  <c:v>0.20512820512820512</c:v>
                </c:pt>
                <c:pt idx="156">
                  <c:v>0.22435897435897437</c:v>
                </c:pt>
                <c:pt idx="157">
                  <c:v>0.1858974358974359</c:v>
                </c:pt>
                <c:pt idx="158">
                  <c:v>0.23076923076923078</c:v>
                </c:pt>
                <c:pt idx="159">
                  <c:v>0.19230769230769232</c:v>
                </c:pt>
                <c:pt idx="160">
                  <c:v>0.16025641025641027</c:v>
                </c:pt>
                <c:pt idx="161">
                  <c:v>0.20261437908496732</c:v>
                </c:pt>
                <c:pt idx="162">
                  <c:v>0.22222222222222221</c:v>
                </c:pt>
                <c:pt idx="163">
                  <c:v>0.1437908496732026</c:v>
                </c:pt>
                <c:pt idx="164">
                  <c:v>0.16993464052287582</c:v>
                </c:pt>
                <c:pt idx="165">
                  <c:v>0.17647058823529413</c:v>
                </c:pt>
                <c:pt idx="166">
                  <c:v>0.18300653594771241</c:v>
                </c:pt>
                <c:pt idx="167">
                  <c:v>0.13071895424836602</c:v>
                </c:pt>
                <c:pt idx="168">
                  <c:v>0.22068965517241379</c:v>
                </c:pt>
                <c:pt idx="169">
                  <c:v>0.19310344827586207</c:v>
                </c:pt>
                <c:pt idx="170">
                  <c:v>0.19310344827586207</c:v>
                </c:pt>
                <c:pt idx="171">
                  <c:v>0.2</c:v>
                </c:pt>
                <c:pt idx="172">
                  <c:v>0.24827586206896551</c:v>
                </c:pt>
                <c:pt idx="173">
                  <c:v>0.16551724137931034</c:v>
                </c:pt>
                <c:pt idx="174">
                  <c:v>0.22758620689655173</c:v>
                </c:pt>
                <c:pt idx="175">
                  <c:v>0.18439716312056736</c:v>
                </c:pt>
                <c:pt idx="176">
                  <c:v>0.1702127659574468</c:v>
                </c:pt>
                <c:pt idx="177">
                  <c:v>0.22695035460992907</c:v>
                </c:pt>
                <c:pt idx="178">
                  <c:v>0.20567375886524822</c:v>
                </c:pt>
                <c:pt idx="179">
                  <c:v>0.15602836879432624</c:v>
                </c:pt>
                <c:pt idx="180">
                  <c:v>0.26241134751773049</c:v>
                </c:pt>
                <c:pt idx="181">
                  <c:v>0.1702127659574468</c:v>
                </c:pt>
                <c:pt idx="182">
                  <c:v>0.18421052631578946</c:v>
                </c:pt>
                <c:pt idx="183">
                  <c:v>0.21052631578947367</c:v>
                </c:pt>
                <c:pt idx="184">
                  <c:v>0.24210526315789474</c:v>
                </c:pt>
                <c:pt idx="185">
                  <c:v>0.18947368421052632</c:v>
                </c:pt>
                <c:pt idx="186">
                  <c:v>0.24210526315789474</c:v>
                </c:pt>
                <c:pt idx="187">
                  <c:v>0.18421052631578946</c:v>
                </c:pt>
                <c:pt idx="188">
                  <c:v>0.27894736842105261</c:v>
                </c:pt>
                <c:pt idx="189">
                  <c:v>0.22746781115879827</c:v>
                </c:pt>
                <c:pt idx="190">
                  <c:v>0.22317596566523606</c:v>
                </c:pt>
                <c:pt idx="191">
                  <c:v>0.27896995708154504</c:v>
                </c:pt>
                <c:pt idx="192">
                  <c:v>0.22317596566523606</c:v>
                </c:pt>
                <c:pt idx="193">
                  <c:v>0.26609442060085836</c:v>
                </c:pt>
                <c:pt idx="194">
                  <c:v>0.33047210300429186</c:v>
                </c:pt>
                <c:pt idx="195">
                  <c:v>0.26180257510729615</c:v>
                </c:pt>
                <c:pt idx="196">
                  <c:v>0.25735294117647056</c:v>
                </c:pt>
                <c:pt idx="197">
                  <c:v>0.24264705882352941</c:v>
                </c:pt>
                <c:pt idx="198">
                  <c:v>0.26838235294117646</c:v>
                </c:pt>
                <c:pt idx="199">
                  <c:v>0.26838235294117646</c:v>
                </c:pt>
                <c:pt idx="200">
                  <c:v>0.29411764705882354</c:v>
                </c:pt>
                <c:pt idx="201">
                  <c:v>0.27573529411764708</c:v>
                </c:pt>
                <c:pt idx="202">
                  <c:v>0.33088235294117646</c:v>
                </c:pt>
                <c:pt idx="203">
                  <c:v>0.26440677966101694</c:v>
                </c:pt>
                <c:pt idx="204">
                  <c:v>0.30508474576271188</c:v>
                </c:pt>
                <c:pt idx="205">
                  <c:v>0.29830508474576273</c:v>
                </c:pt>
                <c:pt idx="206">
                  <c:v>0.28135593220338984</c:v>
                </c:pt>
                <c:pt idx="207">
                  <c:v>0.31186440677966104</c:v>
                </c:pt>
                <c:pt idx="208">
                  <c:v>0.33559322033898303</c:v>
                </c:pt>
                <c:pt idx="209">
                  <c:v>0.31525423728813562</c:v>
                </c:pt>
                <c:pt idx="210">
                  <c:v>0.33236994219653176</c:v>
                </c:pt>
                <c:pt idx="211">
                  <c:v>0.31213872832369943</c:v>
                </c:pt>
                <c:pt idx="212">
                  <c:v>0.32369942196531792</c:v>
                </c:pt>
                <c:pt idx="213">
                  <c:v>0.24855491329479767</c:v>
                </c:pt>
                <c:pt idx="214">
                  <c:v>0.2832369942196532</c:v>
                </c:pt>
                <c:pt idx="215">
                  <c:v>0.28901734104046245</c:v>
                </c:pt>
                <c:pt idx="216">
                  <c:v>0.27456647398843931</c:v>
                </c:pt>
                <c:pt idx="217">
                  <c:v>0.28823529411764703</c:v>
                </c:pt>
                <c:pt idx="218">
                  <c:v>0.26470588235294118</c:v>
                </c:pt>
                <c:pt idx="219">
                  <c:v>0.31470588235294117</c:v>
                </c:pt>
                <c:pt idx="220">
                  <c:v>0.29705882352941176</c:v>
                </c:pt>
                <c:pt idx="221">
                  <c:v>0.30588235294117649</c:v>
                </c:pt>
                <c:pt idx="222">
                  <c:v>0.28823529411764703</c:v>
                </c:pt>
                <c:pt idx="223">
                  <c:v>0.29705882352941176</c:v>
                </c:pt>
                <c:pt idx="224">
                  <c:v>0.27089337175792505</c:v>
                </c:pt>
                <c:pt idx="225">
                  <c:v>0.31123919308357351</c:v>
                </c:pt>
                <c:pt idx="226">
                  <c:v>0.29682997118155618</c:v>
                </c:pt>
                <c:pt idx="227">
                  <c:v>0.2737752161383285</c:v>
                </c:pt>
                <c:pt idx="228">
                  <c:v>0.30835734870317005</c:v>
                </c:pt>
                <c:pt idx="229">
                  <c:v>0.33429394812680113</c:v>
                </c:pt>
                <c:pt idx="230">
                  <c:v>0.31412103746397696</c:v>
                </c:pt>
                <c:pt idx="231">
                  <c:v>0.21875</c:v>
                </c:pt>
                <c:pt idx="232">
                  <c:v>0.25520833333333331</c:v>
                </c:pt>
                <c:pt idx="233">
                  <c:v>0.29947916666666669</c:v>
                </c:pt>
                <c:pt idx="234">
                  <c:v>0.24739583333333334</c:v>
                </c:pt>
                <c:pt idx="235">
                  <c:v>0.27604166666666669</c:v>
                </c:pt>
                <c:pt idx="236">
                  <c:v>0.30729166666666669</c:v>
                </c:pt>
                <c:pt idx="237">
                  <c:v>0.33072916666666669</c:v>
                </c:pt>
                <c:pt idx="238">
                  <c:v>0.1702127659574468</c:v>
                </c:pt>
                <c:pt idx="239">
                  <c:v>0.2144026186579378</c:v>
                </c:pt>
                <c:pt idx="240">
                  <c:v>0.21276595744680851</c:v>
                </c:pt>
                <c:pt idx="241">
                  <c:v>0.22585924713584288</c:v>
                </c:pt>
                <c:pt idx="242">
                  <c:v>0.27332242225859249</c:v>
                </c:pt>
                <c:pt idx="243">
                  <c:v>0.27823240589198034</c:v>
                </c:pt>
                <c:pt idx="244">
                  <c:v>0.27004909983633391</c:v>
                </c:pt>
                <c:pt idx="245">
                  <c:v>0.20926966292134833</c:v>
                </c:pt>
                <c:pt idx="246">
                  <c:v>0.21207865168539325</c:v>
                </c:pt>
                <c:pt idx="247">
                  <c:v>0.24297752808988765</c:v>
                </c:pt>
                <c:pt idx="248">
                  <c:v>0.21067415730337077</c:v>
                </c:pt>
                <c:pt idx="249">
                  <c:v>0.22752808988764045</c:v>
                </c:pt>
                <c:pt idx="250">
                  <c:v>0.24578651685393257</c:v>
                </c:pt>
                <c:pt idx="251">
                  <c:v>0.24719101123595505</c:v>
                </c:pt>
                <c:pt idx="252">
                  <c:v>0.23316062176165803</c:v>
                </c:pt>
                <c:pt idx="253">
                  <c:v>0.21761658031088082</c:v>
                </c:pt>
                <c:pt idx="254">
                  <c:v>0.23963730569948186</c:v>
                </c:pt>
                <c:pt idx="255">
                  <c:v>0.2344559585492228</c:v>
                </c:pt>
                <c:pt idx="256">
                  <c:v>0.22279792746113988</c:v>
                </c:pt>
                <c:pt idx="257">
                  <c:v>0.2422279792746114</c:v>
                </c:pt>
                <c:pt idx="258">
                  <c:v>0.28238341968911918</c:v>
                </c:pt>
                <c:pt idx="259">
                  <c:v>0.28048780487804881</c:v>
                </c:pt>
                <c:pt idx="260">
                  <c:v>0.29573170731707316</c:v>
                </c:pt>
                <c:pt idx="261">
                  <c:v>0.19969512195121952</c:v>
                </c:pt>
                <c:pt idx="262">
                  <c:v>0.26829268292682928</c:v>
                </c:pt>
                <c:pt idx="263">
                  <c:v>0.2073170731707317</c:v>
                </c:pt>
                <c:pt idx="264">
                  <c:v>0.23323170731707318</c:v>
                </c:pt>
                <c:pt idx="265">
                  <c:v>0.2423780487804878</c:v>
                </c:pt>
                <c:pt idx="266">
                  <c:v>0.21633888048411498</c:v>
                </c:pt>
                <c:pt idx="267">
                  <c:v>0.23600605143721634</c:v>
                </c:pt>
                <c:pt idx="268">
                  <c:v>0.22844175491679275</c:v>
                </c:pt>
                <c:pt idx="269">
                  <c:v>0.22390317700453857</c:v>
                </c:pt>
                <c:pt idx="270">
                  <c:v>0.2783661119515885</c:v>
                </c:pt>
                <c:pt idx="271">
                  <c:v>0.30862329803328292</c:v>
                </c:pt>
                <c:pt idx="272">
                  <c:v>0.32526475037821484</c:v>
                </c:pt>
                <c:pt idx="273">
                  <c:v>0.2832618025751073</c:v>
                </c:pt>
                <c:pt idx="274">
                  <c:v>0.28469241773962806</c:v>
                </c:pt>
                <c:pt idx="275">
                  <c:v>0.26895565092989987</c:v>
                </c:pt>
                <c:pt idx="276">
                  <c:v>0.28183118741058655</c:v>
                </c:pt>
                <c:pt idx="277">
                  <c:v>0.27467811158798283</c:v>
                </c:pt>
                <c:pt idx="278">
                  <c:v>0.28612303290414881</c:v>
                </c:pt>
                <c:pt idx="279">
                  <c:v>0.27467811158798283</c:v>
                </c:pt>
                <c:pt idx="280">
                  <c:v>0.28013029315960913</c:v>
                </c:pt>
                <c:pt idx="281">
                  <c:v>0.26058631921824105</c:v>
                </c:pt>
                <c:pt idx="282">
                  <c:v>0.2736156351791531</c:v>
                </c:pt>
                <c:pt idx="283">
                  <c:v>0.27850162866449513</c:v>
                </c:pt>
                <c:pt idx="284">
                  <c:v>0.250814332247557</c:v>
                </c:pt>
                <c:pt idx="285">
                  <c:v>0.23778501628664495</c:v>
                </c:pt>
                <c:pt idx="286">
                  <c:v>0.27035830618892509</c:v>
                </c:pt>
                <c:pt idx="287">
                  <c:v>0.24587155963302754</c:v>
                </c:pt>
                <c:pt idx="288">
                  <c:v>0.27339449541284405</c:v>
                </c:pt>
                <c:pt idx="289">
                  <c:v>0.24220183486238533</c:v>
                </c:pt>
                <c:pt idx="290">
                  <c:v>0.24036697247706423</c:v>
                </c:pt>
                <c:pt idx="291">
                  <c:v>0.19082568807339451</c:v>
                </c:pt>
                <c:pt idx="292">
                  <c:v>0.19266055045871561</c:v>
                </c:pt>
                <c:pt idx="293">
                  <c:v>0.19266055045871561</c:v>
                </c:pt>
                <c:pt idx="294">
                  <c:v>0.2132701421800948</c:v>
                </c:pt>
                <c:pt idx="295">
                  <c:v>0.23933649289099526</c:v>
                </c:pt>
                <c:pt idx="296">
                  <c:v>0.21800947867298578</c:v>
                </c:pt>
                <c:pt idx="297">
                  <c:v>0.16113744075829384</c:v>
                </c:pt>
                <c:pt idx="298">
                  <c:v>0.17772511848341233</c:v>
                </c:pt>
                <c:pt idx="299">
                  <c:v>0.17298578199052134</c:v>
                </c:pt>
                <c:pt idx="300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1-4B35-8D8D-F1A85551C64D}"/>
            </c:ext>
          </c:extLst>
        </c:ser>
        <c:ser>
          <c:idx val="1"/>
          <c:order val="1"/>
          <c:tx>
            <c:strRef>
              <c:f>[3]DAU!$H$1</c:f>
              <c:strCache>
                <c:ptCount val="1"/>
                <c:pt idx="0">
                  <c:v>SF (ежемесячно)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[3]DAU!$A$2:$A$304</c15:sqref>
                  </c15:fullRef>
                </c:ext>
              </c:extLst>
              <c:f>[3]DAU!$A$4:$A$304</c:f>
              <c:numCache>
                <c:formatCode>General</c:formatCode>
                <c:ptCount val="301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[3]DAU!$H$2:$H$304</c15:sqref>
                  </c15:fullRef>
                </c:ext>
              </c:extLst>
              <c:f>[3]DAU!$H$4:$H$304</c:f>
              <c:numCache>
                <c:formatCode>General</c:formatCode>
                <c:ptCount val="301"/>
                <c:pt idx="0">
                  <c:v>2.5906735751295335E-2</c:v>
                </c:pt>
                <c:pt idx="1">
                  <c:v>5.181347150259067E-2</c:v>
                </c:pt>
                <c:pt idx="2">
                  <c:v>2.5906735751295335E-2</c:v>
                </c:pt>
                <c:pt idx="3">
                  <c:v>6.7357512953367879E-2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0.13471502590673576</c:v>
                </c:pt>
                <c:pt idx="7">
                  <c:v>0.11917098445595854</c:v>
                </c:pt>
                <c:pt idx="8">
                  <c:v>0.12435233160621761</c:v>
                </c:pt>
                <c:pt idx="9">
                  <c:v>0.15544041450777202</c:v>
                </c:pt>
                <c:pt idx="10">
                  <c:v>0.16580310880829016</c:v>
                </c:pt>
                <c:pt idx="11">
                  <c:v>0.12953367875647667</c:v>
                </c:pt>
                <c:pt idx="12">
                  <c:v>0.17616580310880828</c:v>
                </c:pt>
                <c:pt idx="13">
                  <c:v>0.20207253886010362</c:v>
                </c:pt>
                <c:pt idx="14">
                  <c:v>0.11398963730569948</c:v>
                </c:pt>
                <c:pt idx="15">
                  <c:v>0.19689119170984457</c:v>
                </c:pt>
                <c:pt idx="16">
                  <c:v>0.17616580310880828</c:v>
                </c:pt>
                <c:pt idx="17">
                  <c:v>0.25906735751295334</c:v>
                </c:pt>
                <c:pt idx="18">
                  <c:v>0.22279792746113988</c:v>
                </c:pt>
                <c:pt idx="19">
                  <c:v>0.22279792746113988</c:v>
                </c:pt>
                <c:pt idx="20">
                  <c:v>0.27461139896373055</c:v>
                </c:pt>
                <c:pt idx="21">
                  <c:v>0.32642487046632124</c:v>
                </c:pt>
                <c:pt idx="22">
                  <c:v>0.24870466321243523</c:v>
                </c:pt>
                <c:pt idx="23">
                  <c:v>0.30569948186528495</c:v>
                </c:pt>
                <c:pt idx="24">
                  <c:v>0.30569948186528495</c:v>
                </c:pt>
                <c:pt idx="25">
                  <c:v>0.31606217616580312</c:v>
                </c:pt>
                <c:pt idx="26">
                  <c:v>0.33160621761658032</c:v>
                </c:pt>
                <c:pt idx="27">
                  <c:v>0.33160621761658032</c:v>
                </c:pt>
                <c:pt idx="28">
                  <c:v>0.14207650273224043</c:v>
                </c:pt>
                <c:pt idx="29">
                  <c:v>0.16939890710382513</c:v>
                </c:pt>
                <c:pt idx="30">
                  <c:v>0.15027322404371585</c:v>
                </c:pt>
                <c:pt idx="31">
                  <c:v>0.16393442622950818</c:v>
                </c:pt>
                <c:pt idx="32">
                  <c:v>0.14207650273224043</c:v>
                </c:pt>
                <c:pt idx="33">
                  <c:v>0.16939890710382513</c:v>
                </c:pt>
                <c:pt idx="34">
                  <c:v>0.16120218579234974</c:v>
                </c:pt>
                <c:pt idx="35">
                  <c:v>0.15846994535519127</c:v>
                </c:pt>
                <c:pt idx="36">
                  <c:v>0.1448087431693989</c:v>
                </c:pt>
                <c:pt idx="37">
                  <c:v>0.15027322404371585</c:v>
                </c:pt>
                <c:pt idx="38">
                  <c:v>0.17759562841530055</c:v>
                </c:pt>
                <c:pt idx="39">
                  <c:v>0.14754098360655737</c:v>
                </c:pt>
                <c:pt idx="40">
                  <c:v>0.20218579234972678</c:v>
                </c:pt>
                <c:pt idx="41">
                  <c:v>0.16120218579234974</c:v>
                </c:pt>
                <c:pt idx="42">
                  <c:v>0.14754098360655737</c:v>
                </c:pt>
                <c:pt idx="43">
                  <c:v>0.18579234972677597</c:v>
                </c:pt>
                <c:pt idx="44">
                  <c:v>0.16120218579234974</c:v>
                </c:pt>
                <c:pt idx="45">
                  <c:v>0.16666666666666666</c:v>
                </c:pt>
                <c:pt idx="46">
                  <c:v>0.15846994535519127</c:v>
                </c:pt>
                <c:pt idx="47">
                  <c:v>0.1830601092896175</c:v>
                </c:pt>
                <c:pt idx="48">
                  <c:v>0.16939890710382513</c:v>
                </c:pt>
                <c:pt idx="49">
                  <c:v>0.1448087431693989</c:v>
                </c:pt>
                <c:pt idx="50">
                  <c:v>0.16393442622950818</c:v>
                </c:pt>
                <c:pt idx="51">
                  <c:v>0.1830601092896175</c:v>
                </c:pt>
                <c:pt idx="52">
                  <c:v>0.1830601092896175</c:v>
                </c:pt>
                <c:pt idx="53">
                  <c:v>0.16666666666666666</c:v>
                </c:pt>
                <c:pt idx="54">
                  <c:v>0.1721311475409836</c:v>
                </c:pt>
                <c:pt idx="55">
                  <c:v>0.16666666666666666</c:v>
                </c:pt>
                <c:pt idx="56">
                  <c:v>0.14754098360655737</c:v>
                </c:pt>
                <c:pt idx="57">
                  <c:v>0.19672131147540983</c:v>
                </c:pt>
                <c:pt idx="58">
                  <c:v>0.14754098360655737</c:v>
                </c:pt>
                <c:pt idx="59">
                  <c:v>0.17460317460317459</c:v>
                </c:pt>
                <c:pt idx="60">
                  <c:v>0.16137566137566137</c:v>
                </c:pt>
                <c:pt idx="61">
                  <c:v>0.15343915343915343</c:v>
                </c:pt>
                <c:pt idx="62">
                  <c:v>0.1693121693121693</c:v>
                </c:pt>
                <c:pt idx="63">
                  <c:v>0.16402116402116401</c:v>
                </c:pt>
                <c:pt idx="64">
                  <c:v>0.12169312169312169</c:v>
                </c:pt>
                <c:pt idx="65">
                  <c:v>0.12962962962962962</c:v>
                </c:pt>
                <c:pt idx="66">
                  <c:v>0.15608465608465608</c:v>
                </c:pt>
                <c:pt idx="67">
                  <c:v>0.15873015873015872</c:v>
                </c:pt>
                <c:pt idx="68">
                  <c:v>0.1402116402116402</c:v>
                </c:pt>
                <c:pt idx="69">
                  <c:v>0.16137566137566137</c:v>
                </c:pt>
                <c:pt idx="70">
                  <c:v>0.15343915343915343</c:v>
                </c:pt>
                <c:pt idx="71">
                  <c:v>0.1693121693121693</c:v>
                </c:pt>
                <c:pt idx="72">
                  <c:v>0.17195767195767195</c:v>
                </c:pt>
                <c:pt idx="73">
                  <c:v>0.19576719576719576</c:v>
                </c:pt>
                <c:pt idx="74">
                  <c:v>0.15343915343915343</c:v>
                </c:pt>
                <c:pt idx="75">
                  <c:v>0.16402116402116401</c:v>
                </c:pt>
                <c:pt idx="76">
                  <c:v>0.18253968253968253</c:v>
                </c:pt>
                <c:pt idx="77">
                  <c:v>0.17460317460317459</c:v>
                </c:pt>
                <c:pt idx="78">
                  <c:v>0.17724867724867724</c:v>
                </c:pt>
                <c:pt idx="79">
                  <c:v>0.18783068783068782</c:v>
                </c:pt>
                <c:pt idx="80">
                  <c:v>0.17724867724867724</c:v>
                </c:pt>
                <c:pt idx="81">
                  <c:v>0.14550264550264549</c:v>
                </c:pt>
                <c:pt idx="82">
                  <c:v>0.15343915343915343</c:v>
                </c:pt>
                <c:pt idx="83">
                  <c:v>0.19312169312169311</c:v>
                </c:pt>
                <c:pt idx="84">
                  <c:v>0.15343915343915343</c:v>
                </c:pt>
                <c:pt idx="85">
                  <c:v>0.20105820105820105</c:v>
                </c:pt>
                <c:pt idx="86">
                  <c:v>0.16402116402116401</c:v>
                </c:pt>
                <c:pt idx="87">
                  <c:v>0.17460317460317459</c:v>
                </c:pt>
                <c:pt idx="88">
                  <c:v>0.15608465608465608</c:v>
                </c:pt>
                <c:pt idx="89">
                  <c:v>0.15521628498727735</c:v>
                </c:pt>
                <c:pt idx="90">
                  <c:v>0.13231552162849872</c:v>
                </c:pt>
                <c:pt idx="91">
                  <c:v>0.17557251908396945</c:v>
                </c:pt>
                <c:pt idx="92">
                  <c:v>0.17811704834605599</c:v>
                </c:pt>
                <c:pt idx="93">
                  <c:v>0.11450381679389313</c:v>
                </c:pt>
                <c:pt idx="94">
                  <c:v>0.19592875318066158</c:v>
                </c:pt>
                <c:pt idx="95">
                  <c:v>0.15521628498727735</c:v>
                </c:pt>
                <c:pt idx="96">
                  <c:v>0.14249363867684478</c:v>
                </c:pt>
                <c:pt idx="97">
                  <c:v>0.16793893129770993</c:v>
                </c:pt>
                <c:pt idx="98">
                  <c:v>0.12977099236641221</c:v>
                </c:pt>
                <c:pt idx="99">
                  <c:v>0.15012722646310434</c:v>
                </c:pt>
                <c:pt idx="100">
                  <c:v>0.16539440203562342</c:v>
                </c:pt>
                <c:pt idx="101">
                  <c:v>0.13486005089058525</c:v>
                </c:pt>
                <c:pt idx="102">
                  <c:v>0.18320610687022901</c:v>
                </c:pt>
                <c:pt idx="103">
                  <c:v>0.15776081424936386</c:v>
                </c:pt>
                <c:pt idx="104">
                  <c:v>0.15776081424936386</c:v>
                </c:pt>
                <c:pt idx="105">
                  <c:v>0.17811704834605599</c:v>
                </c:pt>
                <c:pt idx="106">
                  <c:v>0.15776081424936386</c:v>
                </c:pt>
                <c:pt idx="107">
                  <c:v>0.20865139949109415</c:v>
                </c:pt>
                <c:pt idx="108">
                  <c:v>0.13231552162849872</c:v>
                </c:pt>
                <c:pt idx="109">
                  <c:v>0.16539440203562342</c:v>
                </c:pt>
                <c:pt idx="110">
                  <c:v>0.16284987277353691</c:v>
                </c:pt>
                <c:pt idx="111">
                  <c:v>0.14503816793893129</c:v>
                </c:pt>
                <c:pt idx="112">
                  <c:v>0.1475826972010178</c:v>
                </c:pt>
                <c:pt idx="113">
                  <c:v>0.16793893129770993</c:v>
                </c:pt>
                <c:pt idx="114">
                  <c:v>0.15267175572519084</c:v>
                </c:pt>
                <c:pt idx="115">
                  <c:v>0.13994910941475827</c:v>
                </c:pt>
                <c:pt idx="116">
                  <c:v>0.16539440203562342</c:v>
                </c:pt>
                <c:pt idx="117">
                  <c:v>0.13740458015267176</c:v>
                </c:pt>
                <c:pt idx="118">
                  <c:v>0.16793893129770993</c:v>
                </c:pt>
                <c:pt idx="119">
                  <c:v>0.18320610687022901</c:v>
                </c:pt>
                <c:pt idx="120">
                  <c:v>0.13615023474178403</c:v>
                </c:pt>
                <c:pt idx="121">
                  <c:v>0.12910798122065728</c:v>
                </c:pt>
                <c:pt idx="122">
                  <c:v>0.13145539906103287</c:v>
                </c:pt>
                <c:pt idx="123">
                  <c:v>0.14788732394366197</c:v>
                </c:pt>
                <c:pt idx="124">
                  <c:v>0.1619718309859155</c:v>
                </c:pt>
                <c:pt idx="125">
                  <c:v>0.14553990610328638</c:v>
                </c:pt>
                <c:pt idx="126">
                  <c:v>0.14084507042253522</c:v>
                </c:pt>
                <c:pt idx="127">
                  <c:v>0.14084507042253522</c:v>
                </c:pt>
                <c:pt idx="128">
                  <c:v>0.14084507042253522</c:v>
                </c:pt>
                <c:pt idx="129">
                  <c:v>0.12910798122065728</c:v>
                </c:pt>
                <c:pt idx="130">
                  <c:v>0.14553990610328638</c:v>
                </c:pt>
                <c:pt idx="131">
                  <c:v>0.12441314553990611</c:v>
                </c:pt>
                <c:pt idx="132">
                  <c:v>0.12676056338028169</c:v>
                </c:pt>
                <c:pt idx="133">
                  <c:v>0.107981220657277</c:v>
                </c:pt>
                <c:pt idx="134">
                  <c:v>0.12910798122065728</c:v>
                </c:pt>
                <c:pt idx="135">
                  <c:v>0.11971830985915492</c:v>
                </c:pt>
                <c:pt idx="136">
                  <c:v>0.13615023474178403</c:v>
                </c:pt>
                <c:pt idx="137">
                  <c:v>0.11971830985915492</c:v>
                </c:pt>
                <c:pt idx="138">
                  <c:v>9.3896713615023469E-2</c:v>
                </c:pt>
                <c:pt idx="139">
                  <c:v>0.11737089201877934</c:v>
                </c:pt>
                <c:pt idx="140">
                  <c:v>7.9812206572769953E-2</c:v>
                </c:pt>
                <c:pt idx="141">
                  <c:v>9.6244131455399062E-2</c:v>
                </c:pt>
                <c:pt idx="142">
                  <c:v>9.154929577464789E-2</c:v>
                </c:pt>
                <c:pt idx="143">
                  <c:v>7.5117370892018781E-2</c:v>
                </c:pt>
                <c:pt idx="144">
                  <c:v>7.5117370892018781E-2</c:v>
                </c:pt>
                <c:pt idx="145">
                  <c:v>7.2769953051643188E-2</c:v>
                </c:pt>
                <c:pt idx="146">
                  <c:v>8.2159624413145546E-2</c:v>
                </c:pt>
                <c:pt idx="147">
                  <c:v>7.5117370892018781E-2</c:v>
                </c:pt>
                <c:pt idx="148">
                  <c:v>5.39906103286385E-2</c:v>
                </c:pt>
                <c:pt idx="149">
                  <c:v>8.2159624413145546E-2</c:v>
                </c:pt>
                <c:pt idx="150">
                  <c:v>8.2051282051282051E-2</c:v>
                </c:pt>
                <c:pt idx="151">
                  <c:v>6.4102564102564097E-2</c:v>
                </c:pt>
                <c:pt idx="152">
                  <c:v>4.8717948717948718E-2</c:v>
                </c:pt>
                <c:pt idx="153">
                  <c:v>7.6923076923076927E-2</c:v>
                </c:pt>
                <c:pt idx="154">
                  <c:v>5.8974358974358973E-2</c:v>
                </c:pt>
                <c:pt idx="155">
                  <c:v>8.2051282051282051E-2</c:v>
                </c:pt>
                <c:pt idx="156">
                  <c:v>8.9743589743589744E-2</c:v>
                </c:pt>
                <c:pt idx="157">
                  <c:v>7.4358974358974358E-2</c:v>
                </c:pt>
                <c:pt idx="158">
                  <c:v>9.2307692307692313E-2</c:v>
                </c:pt>
                <c:pt idx="159">
                  <c:v>7.6923076923076927E-2</c:v>
                </c:pt>
                <c:pt idx="160">
                  <c:v>6.4102564102564097E-2</c:v>
                </c:pt>
                <c:pt idx="161">
                  <c:v>7.9487179487179482E-2</c:v>
                </c:pt>
                <c:pt idx="162">
                  <c:v>8.7179487179487175E-2</c:v>
                </c:pt>
                <c:pt idx="163">
                  <c:v>5.6410256410256411E-2</c:v>
                </c:pt>
                <c:pt idx="164">
                  <c:v>6.6666666666666666E-2</c:v>
                </c:pt>
                <c:pt idx="165">
                  <c:v>6.9230769230769235E-2</c:v>
                </c:pt>
                <c:pt idx="166">
                  <c:v>7.179487179487179E-2</c:v>
                </c:pt>
                <c:pt idx="167">
                  <c:v>5.128205128205128E-2</c:v>
                </c:pt>
                <c:pt idx="168">
                  <c:v>8.2051282051282051E-2</c:v>
                </c:pt>
                <c:pt idx="169">
                  <c:v>7.179487179487179E-2</c:v>
                </c:pt>
                <c:pt idx="170">
                  <c:v>7.179487179487179E-2</c:v>
                </c:pt>
                <c:pt idx="171">
                  <c:v>7.4358974358974358E-2</c:v>
                </c:pt>
                <c:pt idx="172">
                  <c:v>9.2307692307692313E-2</c:v>
                </c:pt>
                <c:pt idx="173">
                  <c:v>6.1538461538461542E-2</c:v>
                </c:pt>
                <c:pt idx="174">
                  <c:v>8.461538461538462E-2</c:v>
                </c:pt>
                <c:pt idx="175">
                  <c:v>6.6666666666666666E-2</c:v>
                </c:pt>
                <c:pt idx="176">
                  <c:v>6.1538461538461542E-2</c:v>
                </c:pt>
                <c:pt idx="177">
                  <c:v>8.2051282051282051E-2</c:v>
                </c:pt>
                <c:pt idx="178">
                  <c:v>7.4358974358974358E-2</c:v>
                </c:pt>
                <c:pt idx="179">
                  <c:v>5.6410256410256411E-2</c:v>
                </c:pt>
                <c:pt idx="180">
                  <c:v>9.4871794871794868E-2</c:v>
                </c:pt>
                <c:pt idx="181">
                  <c:v>4.4776119402985072E-2</c:v>
                </c:pt>
                <c:pt idx="182">
                  <c:v>6.5298507462686561E-2</c:v>
                </c:pt>
                <c:pt idx="183">
                  <c:v>7.4626865671641784E-2</c:v>
                </c:pt>
                <c:pt idx="184">
                  <c:v>8.5820895522388058E-2</c:v>
                </c:pt>
                <c:pt idx="185">
                  <c:v>6.7164179104477612E-2</c:v>
                </c:pt>
                <c:pt idx="186">
                  <c:v>8.5820895522388058E-2</c:v>
                </c:pt>
                <c:pt idx="187">
                  <c:v>6.5298507462686561E-2</c:v>
                </c:pt>
                <c:pt idx="188">
                  <c:v>9.8880597014925367E-2</c:v>
                </c:pt>
                <c:pt idx="189">
                  <c:v>9.8880597014925367E-2</c:v>
                </c:pt>
                <c:pt idx="190">
                  <c:v>9.7014925373134331E-2</c:v>
                </c:pt>
                <c:pt idx="191">
                  <c:v>0.12126865671641791</c:v>
                </c:pt>
                <c:pt idx="192">
                  <c:v>9.7014925373134331E-2</c:v>
                </c:pt>
                <c:pt idx="193">
                  <c:v>0.11567164179104478</c:v>
                </c:pt>
                <c:pt idx="194">
                  <c:v>0.14365671641791045</c:v>
                </c:pt>
                <c:pt idx="195">
                  <c:v>0.11380597014925373</c:v>
                </c:pt>
                <c:pt idx="196">
                  <c:v>0.13059701492537312</c:v>
                </c:pt>
                <c:pt idx="197">
                  <c:v>0.12313432835820895</c:v>
                </c:pt>
                <c:pt idx="198">
                  <c:v>0.13619402985074627</c:v>
                </c:pt>
                <c:pt idx="199">
                  <c:v>0.13619402985074627</c:v>
                </c:pt>
                <c:pt idx="200">
                  <c:v>0.14925373134328357</c:v>
                </c:pt>
                <c:pt idx="201">
                  <c:v>0.13992537313432835</c:v>
                </c:pt>
                <c:pt idx="202">
                  <c:v>0.16791044776119404</c:v>
                </c:pt>
                <c:pt idx="203">
                  <c:v>0.1455223880597015</c:v>
                </c:pt>
                <c:pt idx="204">
                  <c:v>0.16791044776119404</c:v>
                </c:pt>
                <c:pt idx="205">
                  <c:v>0.16417910447761194</c:v>
                </c:pt>
                <c:pt idx="206">
                  <c:v>0.15485074626865672</c:v>
                </c:pt>
                <c:pt idx="207">
                  <c:v>0.17164179104477612</c:v>
                </c:pt>
                <c:pt idx="208">
                  <c:v>0.18470149253731344</c:v>
                </c:pt>
                <c:pt idx="209">
                  <c:v>0.17350746268656717</c:v>
                </c:pt>
                <c:pt idx="210">
                  <c:v>0.21455223880597016</c:v>
                </c:pt>
                <c:pt idx="211">
                  <c:v>0.20149253731343283</c:v>
                </c:pt>
                <c:pt idx="212">
                  <c:v>0.16091954022988506</c:v>
                </c:pt>
                <c:pt idx="213">
                  <c:v>0.1235632183908046</c:v>
                </c:pt>
                <c:pt idx="214">
                  <c:v>0.14080459770114942</c:v>
                </c:pt>
                <c:pt idx="215">
                  <c:v>0.14367816091954022</c:v>
                </c:pt>
                <c:pt idx="216">
                  <c:v>0.13649425287356323</c:v>
                </c:pt>
                <c:pt idx="217">
                  <c:v>0.14080459770114942</c:v>
                </c:pt>
                <c:pt idx="218">
                  <c:v>0.12931034482758622</c:v>
                </c:pt>
                <c:pt idx="219">
                  <c:v>0.15373563218390804</c:v>
                </c:pt>
                <c:pt idx="220">
                  <c:v>0.14511494252873564</c:v>
                </c:pt>
                <c:pt idx="221">
                  <c:v>0.14942528735632185</c:v>
                </c:pt>
                <c:pt idx="222">
                  <c:v>0.14080459770114942</c:v>
                </c:pt>
                <c:pt idx="223">
                  <c:v>0.14511494252873564</c:v>
                </c:pt>
                <c:pt idx="224">
                  <c:v>0.13505747126436782</c:v>
                </c:pt>
                <c:pt idx="225">
                  <c:v>0.15517241379310345</c:v>
                </c:pt>
                <c:pt idx="226">
                  <c:v>0.14798850574712644</c:v>
                </c:pt>
                <c:pt idx="227">
                  <c:v>0.13649425287356323</c:v>
                </c:pt>
                <c:pt idx="228">
                  <c:v>0.15373563218390804</c:v>
                </c:pt>
                <c:pt idx="229">
                  <c:v>0.16666666666666666</c:v>
                </c:pt>
                <c:pt idx="230">
                  <c:v>0.15660919540229884</c:v>
                </c:pt>
                <c:pt idx="231">
                  <c:v>0.1206896551724138</c:v>
                </c:pt>
                <c:pt idx="232">
                  <c:v>0.14080459770114942</c:v>
                </c:pt>
                <c:pt idx="233">
                  <c:v>0.16522988505747127</c:v>
                </c:pt>
                <c:pt idx="234">
                  <c:v>0.13649425287356323</c:v>
                </c:pt>
                <c:pt idx="235">
                  <c:v>0.15229885057471265</c:v>
                </c:pt>
                <c:pt idx="236">
                  <c:v>0.16954022988505746</c:v>
                </c:pt>
                <c:pt idx="237">
                  <c:v>0.18247126436781611</c:v>
                </c:pt>
                <c:pt idx="238">
                  <c:v>0.14942528735632185</c:v>
                </c:pt>
                <c:pt idx="239">
                  <c:v>0.18821839080459771</c:v>
                </c:pt>
                <c:pt idx="240">
                  <c:v>8.4196891191709838E-2</c:v>
                </c:pt>
                <c:pt idx="241">
                  <c:v>8.937823834196891E-2</c:v>
                </c:pt>
                <c:pt idx="242">
                  <c:v>0.10816062176165803</c:v>
                </c:pt>
                <c:pt idx="243">
                  <c:v>0.11010362694300518</c:v>
                </c:pt>
                <c:pt idx="244">
                  <c:v>0.10686528497409327</c:v>
                </c:pt>
                <c:pt idx="245">
                  <c:v>9.6502590673575125E-2</c:v>
                </c:pt>
                <c:pt idx="246">
                  <c:v>9.7797927461139897E-2</c:v>
                </c:pt>
                <c:pt idx="247">
                  <c:v>0.11204663212435233</c:v>
                </c:pt>
                <c:pt idx="248">
                  <c:v>9.7150259067357511E-2</c:v>
                </c:pt>
                <c:pt idx="249">
                  <c:v>0.10492227979274611</c:v>
                </c:pt>
                <c:pt idx="250">
                  <c:v>0.1133419689119171</c:v>
                </c:pt>
                <c:pt idx="251">
                  <c:v>0.11398963730569948</c:v>
                </c:pt>
                <c:pt idx="252">
                  <c:v>0.11658031088082901</c:v>
                </c:pt>
                <c:pt idx="253">
                  <c:v>0.10880829015544041</c:v>
                </c:pt>
                <c:pt idx="254">
                  <c:v>0.11981865284974093</c:v>
                </c:pt>
                <c:pt idx="255">
                  <c:v>0.1172279792746114</c:v>
                </c:pt>
                <c:pt idx="256">
                  <c:v>0.11139896373056994</c:v>
                </c:pt>
                <c:pt idx="257">
                  <c:v>0.1211139896373057</c:v>
                </c:pt>
                <c:pt idx="258">
                  <c:v>0.14119170984455959</c:v>
                </c:pt>
                <c:pt idx="259">
                  <c:v>0.11917098445595854</c:v>
                </c:pt>
                <c:pt idx="260">
                  <c:v>0.12564766839378239</c:v>
                </c:pt>
                <c:pt idx="261">
                  <c:v>8.4844559585492224E-2</c:v>
                </c:pt>
                <c:pt idx="262">
                  <c:v>0.11398963730569948</c:v>
                </c:pt>
                <c:pt idx="263">
                  <c:v>8.8082901554404139E-2</c:v>
                </c:pt>
                <c:pt idx="264">
                  <c:v>9.9093264248704668E-2</c:v>
                </c:pt>
                <c:pt idx="265">
                  <c:v>0.10297927461139897</c:v>
                </c:pt>
                <c:pt idx="266">
                  <c:v>9.2616580310880825E-2</c:v>
                </c:pt>
                <c:pt idx="267">
                  <c:v>0.10103626943005181</c:v>
                </c:pt>
                <c:pt idx="268">
                  <c:v>9.7797927461139897E-2</c:v>
                </c:pt>
                <c:pt idx="269">
                  <c:v>9.585492227979274E-2</c:v>
                </c:pt>
                <c:pt idx="270">
                  <c:v>0.11917098445595854</c:v>
                </c:pt>
                <c:pt idx="271">
                  <c:v>0.19863680623174293</c:v>
                </c:pt>
                <c:pt idx="272">
                  <c:v>0.20934761441090555</c:v>
                </c:pt>
                <c:pt idx="273">
                  <c:v>0.19279454722492698</c:v>
                </c:pt>
                <c:pt idx="274">
                  <c:v>0.19376825705939629</c:v>
                </c:pt>
                <c:pt idx="275">
                  <c:v>0.1830574488802337</c:v>
                </c:pt>
                <c:pt idx="276">
                  <c:v>0.19182083739045763</c:v>
                </c:pt>
                <c:pt idx="277">
                  <c:v>0.186952288218111</c:v>
                </c:pt>
                <c:pt idx="278">
                  <c:v>0.19474196689386564</c:v>
                </c:pt>
                <c:pt idx="279">
                  <c:v>0.186952288218111</c:v>
                </c:pt>
                <c:pt idx="280">
                  <c:v>0.16747809152872445</c:v>
                </c:pt>
                <c:pt idx="281">
                  <c:v>0.15579357351509251</c:v>
                </c:pt>
                <c:pt idx="282">
                  <c:v>0.16358325219084713</c:v>
                </c:pt>
                <c:pt idx="283">
                  <c:v>0.1665043816942551</c:v>
                </c:pt>
                <c:pt idx="284">
                  <c:v>0.14995131450827653</c:v>
                </c:pt>
                <c:pt idx="285">
                  <c:v>0.14216163583252192</c:v>
                </c:pt>
                <c:pt idx="286">
                  <c:v>0.16163583252190847</c:v>
                </c:pt>
                <c:pt idx="287">
                  <c:v>0.13047711781888996</c:v>
                </c:pt>
                <c:pt idx="288">
                  <c:v>0.1450827653359299</c:v>
                </c:pt>
                <c:pt idx="289">
                  <c:v>0.12852969814995133</c:v>
                </c:pt>
                <c:pt idx="290">
                  <c:v>0.12755598831548198</c:v>
                </c:pt>
                <c:pt idx="291">
                  <c:v>0.10126582278481013</c:v>
                </c:pt>
                <c:pt idx="292">
                  <c:v>0.10223953261927946</c:v>
                </c:pt>
                <c:pt idx="293">
                  <c:v>0.10223953261927946</c:v>
                </c:pt>
                <c:pt idx="294">
                  <c:v>8.7633885102239531E-2</c:v>
                </c:pt>
                <c:pt idx="295">
                  <c:v>9.8344693281402148E-2</c:v>
                </c:pt>
                <c:pt idx="296">
                  <c:v>8.9581304771178191E-2</c:v>
                </c:pt>
                <c:pt idx="297">
                  <c:v>6.621226874391431E-2</c:v>
                </c:pt>
                <c:pt idx="298">
                  <c:v>7.3028237585199607E-2</c:v>
                </c:pt>
                <c:pt idx="299">
                  <c:v>7.108081791626096E-2</c:v>
                </c:pt>
                <c:pt idx="300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1-4B35-8D8D-F1A85551C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801744"/>
        <c:axId val="353803408"/>
      </c:lineChart>
      <c:catAx>
        <c:axId val="35380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  <a:p>
                <a:pPr>
                  <a:defRPr/>
                </a:pPr>
                <a:r>
                  <a:rPr lang="ru-RU"/>
                  <a:t>Месяцы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3803408"/>
        <c:crosses val="autoZero"/>
        <c:auto val="1"/>
        <c:lblAlgn val="ctr"/>
        <c:lblOffset val="100"/>
        <c:noMultiLvlLbl val="0"/>
      </c:catAx>
      <c:valAx>
        <c:axId val="3538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Показатели </a:t>
                </a:r>
                <a:r>
                  <a:rPr lang="en-US"/>
                  <a:t>SF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38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</a:t>
            </a:r>
            <a:r>
              <a:rPr lang="en-US"/>
              <a:t>LDAU,</a:t>
            </a:r>
            <a:r>
              <a:rPr lang="ru-RU"/>
              <a:t> </a:t>
            </a:r>
            <a:r>
              <a:rPr lang="en-US"/>
              <a:t>LWAU,</a:t>
            </a:r>
            <a:r>
              <a:rPr lang="ru-RU"/>
              <a:t> </a:t>
            </a:r>
            <a:r>
              <a:rPr lang="en-US"/>
              <a:t>LMAU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[6]LDAU!$B$1</c:f>
              <c:strCache>
                <c:ptCount val="1"/>
                <c:pt idx="0">
                  <c:v>LDAU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6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16-4116-9174-59E21E7B04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[6]LDAU!$A$2:$A$303</c:f>
              <c:numCache>
                <c:formatCode>General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[6]LDAU!$B$2:$B$303</c:f>
              <c:numCache>
                <c:formatCode>General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11</c:v>
                </c:pt>
                <c:pt idx="11">
                  <c:v>9</c:v>
                </c:pt>
                <c:pt idx="12">
                  <c:v>7</c:v>
                </c:pt>
                <c:pt idx="13">
                  <c:v>14</c:v>
                </c:pt>
                <c:pt idx="14">
                  <c:v>16</c:v>
                </c:pt>
                <c:pt idx="15">
                  <c:v>9</c:v>
                </c:pt>
                <c:pt idx="16">
                  <c:v>12</c:v>
                </c:pt>
                <c:pt idx="17">
                  <c:v>11</c:v>
                </c:pt>
                <c:pt idx="18">
                  <c:v>18</c:v>
                </c:pt>
                <c:pt idx="19">
                  <c:v>15</c:v>
                </c:pt>
                <c:pt idx="20">
                  <c:v>18</c:v>
                </c:pt>
                <c:pt idx="21">
                  <c:v>18</c:v>
                </c:pt>
                <c:pt idx="22">
                  <c:v>25</c:v>
                </c:pt>
                <c:pt idx="23">
                  <c:v>18</c:v>
                </c:pt>
                <c:pt idx="24">
                  <c:v>17</c:v>
                </c:pt>
                <c:pt idx="25">
                  <c:v>28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13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27</c:v>
                </c:pt>
                <c:pt idx="34">
                  <c:v>30</c:v>
                </c:pt>
                <c:pt idx="35">
                  <c:v>24</c:v>
                </c:pt>
                <c:pt idx="36">
                  <c:v>26</c:v>
                </c:pt>
                <c:pt idx="37">
                  <c:v>23</c:v>
                </c:pt>
                <c:pt idx="38">
                  <c:v>24</c:v>
                </c:pt>
                <c:pt idx="39">
                  <c:v>31</c:v>
                </c:pt>
                <c:pt idx="40">
                  <c:v>30</c:v>
                </c:pt>
                <c:pt idx="41">
                  <c:v>25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  <c:pt idx="47">
                  <c:v>32</c:v>
                </c:pt>
                <c:pt idx="48">
                  <c:v>31</c:v>
                </c:pt>
                <c:pt idx="49">
                  <c:v>30</c:v>
                </c:pt>
                <c:pt idx="50">
                  <c:v>19</c:v>
                </c:pt>
                <c:pt idx="51">
                  <c:v>28</c:v>
                </c:pt>
                <c:pt idx="52">
                  <c:v>30</c:v>
                </c:pt>
                <c:pt idx="53">
                  <c:v>27</c:v>
                </c:pt>
                <c:pt idx="54">
                  <c:v>25</c:v>
                </c:pt>
                <c:pt idx="55">
                  <c:v>30</c:v>
                </c:pt>
                <c:pt idx="56">
                  <c:v>26</c:v>
                </c:pt>
                <c:pt idx="57">
                  <c:v>21</c:v>
                </c:pt>
                <c:pt idx="58">
                  <c:v>26</c:v>
                </c:pt>
                <c:pt idx="59">
                  <c:v>21</c:v>
                </c:pt>
                <c:pt idx="60">
                  <c:v>24</c:v>
                </c:pt>
                <c:pt idx="61">
                  <c:v>27</c:v>
                </c:pt>
                <c:pt idx="62">
                  <c:v>23</c:v>
                </c:pt>
                <c:pt idx="63">
                  <c:v>24</c:v>
                </c:pt>
                <c:pt idx="64">
                  <c:v>18</c:v>
                </c:pt>
                <c:pt idx="65">
                  <c:v>18</c:v>
                </c:pt>
                <c:pt idx="66">
                  <c:v>17</c:v>
                </c:pt>
                <c:pt idx="67">
                  <c:v>24</c:v>
                </c:pt>
                <c:pt idx="68">
                  <c:v>33</c:v>
                </c:pt>
                <c:pt idx="69">
                  <c:v>19</c:v>
                </c:pt>
                <c:pt idx="70">
                  <c:v>24</c:v>
                </c:pt>
                <c:pt idx="71">
                  <c:v>22</c:v>
                </c:pt>
                <c:pt idx="72">
                  <c:v>25</c:v>
                </c:pt>
                <c:pt idx="73">
                  <c:v>19</c:v>
                </c:pt>
                <c:pt idx="74">
                  <c:v>29</c:v>
                </c:pt>
                <c:pt idx="75">
                  <c:v>32</c:v>
                </c:pt>
                <c:pt idx="76">
                  <c:v>24</c:v>
                </c:pt>
                <c:pt idx="77">
                  <c:v>25</c:v>
                </c:pt>
                <c:pt idx="78">
                  <c:v>25</c:v>
                </c:pt>
                <c:pt idx="79">
                  <c:v>29</c:v>
                </c:pt>
                <c:pt idx="80">
                  <c:v>30</c:v>
                </c:pt>
                <c:pt idx="81">
                  <c:v>23</c:v>
                </c:pt>
                <c:pt idx="82">
                  <c:v>19</c:v>
                </c:pt>
                <c:pt idx="83">
                  <c:v>18</c:v>
                </c:pt>
                <c:pt idx="84">
                  <c:v>30</c:v>
                </c:pt>
                <c:pt idx="85">
                  <c:v>22</c:v>
                </c:pt>
                <c:pt idx="86">
                  <c:v>21</c:v>
                </c:pt>
                <c:pt idx="87">
                  <c:v>20</c:v>
                </c:pt>
                <c:pt idx="88">
                  <c:v>17</c:v>
                </c:pt>
                <c:pt idx="89">
                  <c:v>16</c:v>
                </c:pt>
                <c:pt idx="90">
                  <c:v>22</c:v>
                </c:pt>
                <c:pt idx="91">
                  <c:v>15</c:v>
                </c:pt>
                <c:pt idx="92">
                  <c:v>20</c:v>
                </c:pt>
                <c:pt idx="93">
                  <c:v>25</c:v>
                </c:pt>
                <c:pt idx="94">
                  <c:v>18</c:v>
                </c:pt>
                <c:pt idx="95">
                  <c:v>27</c:v>
                </c:pt>
                <c:pt idx="96">
                  <c:v>22</c:v>
                </c:pt>
                <c:pt idx="97">
                  <c:v>18</c:v>
                </c:pt>
                <c:pt idx="98">
                  <c:v>20</c:v>
                </c:pt>
                <c:pt idx="99">
                  <c:v>17</c:v>
                </c:pt>
                <c:pt idx="100">
                  <c:v>24</c:v>
                </c:pt>
                <c:pt idx="101">
                  <c:v>22</c:v>
                </c:pt>
                <c:pt idx="102">
                  <c:v>19</c:v>
                </c:pt>
                <c:pt idx="103">
                  <c:v>26</c:v>
                </c:pt>
                <c:pt idx="104">
                  <c:v>22</c:v>
                </c:pt>
                <c:pt idx="105">
                  <c:v>24</c:v>
                </c:pt>
                <c:pt idx="106">
                  <c:v>20</c:v>
                </c:pt>
                <c:pt idx="107">
                  <c:v>16</c:v>
                </c:pt>
                <c:pt idx="108">
                  <c:v>25</c:v>
                </c:pt>
                <c:pt idx="109">
                  <c:v>15</c:v>
                </c:pt>
                <c:pt idx="110">
                  <c:v>21</c:v>
                </c:pt>
                <c:pt idx="111">
                  <c:v>21</c:v>
                </c:pt>
                <c:pt idx="112">
                  <c:v>16</c:v>
                </c:pt>
                <c:pt idx="113">
                  <c:v>18</c:v>
                </c:pt>
                <c:pt idx="114">
                  <c:v>20</c:v>
                </c:pt>
                <c:pt idx="115">
                  <c:v>18</c:v>
                </c:pt>
                <c:pt idx="116">
                  <c:v>20</c:v>
                </c:pt>
                <c:pt idx="117">
                  <c:v>24</c:v>
                </c:pt>
                <c:pt idx="118">
                  <c:v>18</c:v>
                </c:pt>
                <c:pt idx="119">
                  <c:v>26</c:v>
                </c:pt>
                <c:pt idx="120">
                  <c:v>24</c:v>
                </c:pt>
                <c:pt idx="121">
                  <c:v>19</c:v>
                </c:pt>
                <c:pt idx="122">
                  <c:v>15</c:v>
                </c:pt>
                <c:pt idx="123">
                  <c:v>23</c:v>
                </c:pt>
                <c:pt idx="124">
                  <c:v>19</c:v>
                </c:pt>
                <c:pt idx="125">
                  <c:v>16</c:v>
                </c:pt>
                <c:pt idx="126">
                  <c:v>18</c:v>
                </c:pt>
                <c:pt idx="127">
                  <c:v>18</c:v>
                </c:pt>
                <c:pt idx="128">
                  <c:v>23</c:v>
                </c:pt>
                <c:pt idx="129">
                  <c:v>22</c:v>
                </c:pt>
                <c:pt idx="130">
                  <c:v>25</c:v>
                </c:pt>
                <c:pt idx="131">
                  <c:v>19</c:v>
                </c:pt>
                <c:pt idx="132">
                  <c:v>19</c:v>
                </c:pt>
                <c:pt idx="133">
                  <c:v>15</c:v>
                </c:pt>
                <c:pt idx="134">
                  <c:v>14</c:v>
                </c:pt>
                <c:pt idx="135">
                  <c:v>16</c:v>
                </c:pt>
                <c:pt idx="136">
                  <c:v>14</c:v>
                </c:pt>
                <c:pt idx="137">
                  <c:v>17</c:v>
                </c:pt>
                <c:pt idx="138">
                  <c:v>20</c:v>
                </c:pt>
                <c:pt idx="139">
                  <c:v>13</c:v>
                </c:pt>
                <c:pt idx="140">
                  <c:v>21</c:v>
                </c:pt>
                <c:pt idx="141">
                  <c:v>9</c:v>
                </c:pt>
                <c:pt idx="142">
                  <c:v>16</c:v>
                </c:pt>
                <c:pt idx="143">
                  <c:v>18</c:v>
                </c:pt>
                <c:pt idx="144">
                  <c:v>10</c:v>
                </c:pt>
                <c:pt idx="145">
                  <c:v>15</c:v>
                </c:pt>
                <c:pt idx="146">
                  <c:v>12</c:v>
                </c:pt>
                <c:pt idx="147">
                  <c:v>12</c:v>
                </c:pt>
                <c:pt idx="148">
                  <c:v>14</c:v>
                </c:pt>
                <c:pt idx="149">
                  <c:v>5</c:v>
                </c:pt>
                <c:pt idx="150">
                  <c:v>8</c:v>
                </c:pt>
                <c:pt idx="151">
                  <c:v>9</c:v>
                </c:pt>
                <c:pt idx="152">
                  <c:v>11</c:v>
                </c:pt>
                <c:pt idx="153">
                  <c:v>9</c:v>
                </c:pt>
                <c:pt idx="154">
                  <c:v>13</c:v>
                </c:pt>
                <c:pt idx="155">
                  <c:v>6</c:v>
                </c:pt>
                <c:pt idx="156">
                  <c:v>16</c:v>
                </c:pt>
                <c:pt idx="157">
                  <c:v>13</c:v>
                </c:pt>
                <c:pt idx="158">
                  <c:v>11</c:v>
                </c:pt>
                <c:pt idx="159">
                  <c:v>13</c:v>
                </c:pt>
                <c:pt idx="160">
                  <c:v>6</c:v>
                </c:pt>
                <c:pt idx="161">
                  <c:v>12</c:v>
                </c:pt>
                <c:pt idx="162">
                  <c:v>12</c:v>
                </c:pt>
                <c:pt idx="163">
                  <c:v>15</c:v>
                </c:pt>
                <c:pt idx="164">
                  <c:v>7</c:v>
                </c:pt>
                <c:pt idx="165">
                  <c:v>7</c:v>
                </c:pt>
                <c:pt idx="166">
                  <c:v>8</c:v>
                </c:pt>
                <c:pt idx="167">
                  <c:v>12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12</c:v>
                </c:pt>
                <c:pt idx="173">
                  <c:v>13</c:v>
                </c:pt>
                <c:pt idx="174">
                  <c:v>10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10</c:v>
                </c:pt>
                <c:pt idx="179">
                  <c:v>14</c:v>
                </c:pt>
                <c:pt idx="180">
                  <c:v>10</c:v>
                </c:pt>
                <c:pt idx="181">
                  <c:v>15</c:v>
                </c:pt>
                <c:pt idx="182">
                  <c:v>12</c:v>
                </c:pt>
                <c:pt idx="183">
                  <c:v>14</c:v>
                </c:pt>
                <c:pt idx="184">
                  <c:v>17</c:v>
                </c:pt>
                <c:pt idx="185">
                  <c:v>17</c:v>
                </c:pt>
                <c:pt idx="186">
                  <c:v>16</c:v>
                </c:pt>
                <c:pt idx="187">
                  <c:v>12</c:v>
                </c:pt>
                <c:pt idx="188">
                  <c:v>9</c:v>
                </c:pt>
                <c:pt idx="189">
                  <c:v>21</c:v>
                </c:pt>
                <c:pt idx="190">
                  <c:v>14</c:v>
                </c:pt>
                <c:pt idx="191">
                  <c:v>17</c:v>
                </c:pt>
                <c:pt idx="192">
                  <c:v>27</c:v>
                </c:pt>
                <c:pt idx="193">
                  <c:v>18</c:v>
                </c:pt>
                <c:pt idx="194">
                  <c:v>24</c:v>
                </c:pt>
                <c:pt idx="195">
                  <c:v>29</c:v>
                </c:pt>
                <c:pt idx="196">
                  <c:v>26</c:v>
                </c:pt>
                <c:pt idx="197">
                  <c:v>26</c:v>
                </c:pt>
                <c:pt idx="198">
                  <c:v>32</c:v>
                </c:pt>
                <c:pt idx="199">
                  <c:v>29</c:v>
                </c:pt>
                <c:pt idx="200">
                  <c:v>25</c:v>
                </c:pt>
                <c:pt idx="201">
                  <c:v>31</c:v>
                </c:pt>
                <c:pt idx="202">
                  <c:v>25</c:v>
                </c:pt>
                <c:pt idx="203">
                  <c:v>41</c:v>
                </c:pt>
                <c:pt idx="204">
                  <c:v>31</c:v>
                </c:pt>
                <c:pt idx="205">
                  <c:v>39</c:v>
                </c:pt>
                <c:pt idx="206">
                  <c:v>42</c:v>
                </c:pt>
                <c:pt idx="207">
                  <c:v>28</c:v>
                </c:pt>
                <c:pt idx="208">
                  <c:v>29</c:v>
                </c:pt>
                <c:pt idx="209">
                  <c:v>34</c:v>
                </c:pt>
                <c:pt idx="210">
                  <c:v>33</c:v>
                </c:pt>
                <c:pt idx="211">
                  <c:v>42</c:v>
                </c:pt>
                <c:pt idx="212">
                  <c:v>43</c:v>
                </c:pt>
                <c:pt idx="213">
                  <c:v>35</c:v>
                </c:pt>
                <c:pt idx="214">
                  <c:v>36</c:v>
                </c:pt>
                <c:pt idx="215">
                  <c:v>39</c:v>
                </c:pt>
                <c:pt idx="216">
                  <c:v>35</c:v>
                </c:pt>
                <c:pt idx="217">
                  <c:v>38</c:v>
                </c:pt>
                <c:pt idx="218">
                  <c:v>37</c:v>
                </c:pt>
                <c:pt idx="219">
                  <c:v>30</c:v>
                </c:pt>
                <c:pt idx="220">
                  <c:v>45</c:v>
                </c:pt>
                <c:pt idx="221">
                  <c:v>32</c:v>
                </c:pt>
                <c:pt idx="222">
                  <c:v>41</c:v>
                </c:pt>
                <c:pt idx="223">
                  <c:v>41</c:v>
                </c:pt>
                <c:pt idx="224">
                  <c:v>42</c:v>
                </c:pt>
                <c:pt idx="225">
                  <c:v>28</c:v>
                </c:pt>
                <c:pt idx="226">
                  <c:v>39</c:v>
                </c:pt>
                <c:pt idx="227">
                  <c:v>41</c:v>
                </c:pt>
                <c:pt idx="228">
                  <c:v>38</c:v>
                </c:pt>
                <c:pt idx="229">
                  <c:v>39</c:v>
                </c:pt>
                <c:pt idx="230">
                  <c:v>41</c:v>
                </c:pt>
                <c:pt idx="231">
                  <c:v>32</c:v>
                </c:pt>
                <c:pt idx="232">
                  <c:v>28</c:v>
                </c:pt>
                <c:pt idx="233">
                  <c:v>38</c:v>
                </c:pt>
                <c:pt idx="234">
                  <c:v>35</c:v>
                </c:pt>
                <c:pt idx="235">
                  <c:v>24</c:v>
                </c:pt>
                <c:pt idx="236">
                  <c:v>30</c:v>
                </c:pt>
                <c:pt idx="237">
                  <c:v>39</c:v>
                </c:pt>
                <c:pt idx="238">
                  <c:v>46</c:v>
                </c:pt>
                <c:pt idx="239">
                  <c:v>36</c:v>
                </c:pt>
                <c:pt idx="240">
                  <c:v>44</c:v>
                </c:pt>
                <c:pt idx="241">
                  <c:v>42</c:v>
                </c:pt>
                <c:pt idx="242">
                  <c:v>46</c:v>
                </c:pt>
                <c:pt idx="243">
                  <c:v>55</c:v>
                </c:pt>
                <c:pt idx="244">
                  <c:v>53</c:v>
                </c:pt>
                <c:pt idx="245">
                  <c:v>64</c:v>
                </c:pt>
                <c:pt idx="246">
                  <c:v>57</c:v>
                </c:pt>
                <c:pt idx="247">
                  <c:v>37</c:v>
                </c:pt>
                <c:pt idx="248">
                  <c:v>55</c:v>
                </c:pt>
                <c:pt idx="249">
                  <c:v>59</c:v>
                </c:pt>
                <c:pt idx="250">
                  <c:v>60</c:v>
                </c:pt>
                <c:pt idx="251">
                  <c:v>55</c:v>
                </c:pt>
                <c:pt idx="252">
                  <c:v>54</c:v>
                </c:pt>
                <c:pt idx="253">
                  <c:v>64</c:v>
                </c:pt>
                <c:pt idx="254">
                  <c:v>47</c:v>
                </c:pt>
                <c:pt idx="255">
                  <c:v>66</c:v>
                </c:pt>
                <c:pt idx="256">
                  <c:v>69</c:v>
                </c:pt>
                <c:pt idx="257">
                  <c:v>52</c:v>
                </c:pt>
                <c:pt idx="258">
                  <c:v>65</c:v>
                </c:pt>
                <c:pt idx="259">
                  <c:v>75</c:v>
                </c:pt>
                <c:pt idx="260">
                  <c:v>64</c:v>
                </c:pt>
                <c:pt idx="261">
                  <c:v>75</c:v>
                </c:pt>
                <c:pt idx="262">
                  <c:v>43</c:v>
                </c:pt>
                <c:pt idx="263">
                  <c:v>74</c:v>
                </c:pt>
                <c:pt idx="264">
                  <c:v>48</c:v>
                </c:pt>
                <c:pt idx="265">
                  <c:v>54</c:v>
                </c:pt>
                <c:pt idx="266">
                  <c:v>52</c:v>
                </c:pt>
                <c:pt idx="267">
                  <c:v>46</c:v>
                </c:pt>
                <c:pt idx="268">
                  <c:v>46</c:v>
                </c:pt>
                <c:pt idx="269">
                  <c:v>49</c:v>
                </c:pt>
                <c:pt idx="270">
                  <c:v>42</c:v>
                </c:pt>
                <c:pt idx="271">
                  <c:v>58</c:v>
                </c:pt>
                <c:pt idx="272">
                  <c:v>65</c:v>
                </c:pt>
                <c:pt idx="273">
                  <c:v>58</c:v>
                </c:pt>
                <c:pt idx="274">
                  <c:v>57</c:v>
                </c:pt>
                <c:pt idx="275">
                  <c:v>61</c:v>
                </c:pt>
                <c:pt idx="276">
                  <c:v>67</c:v>
                </c:pt>
                <c:pt idx="277">
                  <c:v>69</c:v>
                </c:pt>
                <c:pt idx="278">
                  <c:v>53</c:v>
                </c:pt>
                <c:pt idx="279">
                  <c:v>69</c:v>
                </c:pt>
                <c:pt idx="280">
                  <c:v>61</c:v>
                </c:pt>
                <c:pt idx="281">
                  <c:v>46</c:v>
                </c:pt>
                <c:pt idx="282">
                  <c:v>52</c:v>
                </c:pt>
                <c:pt idx="283">
                  <c:v>53</c:v>
                </c:pt>
                <c:pt idx="284">
                  <c:v>49</c:v>
                </c:pt>
                <c:pt idx="285">
                  <c:v>53</c:v>
                </c:pt>
                <c:pt idx="286">
                  <c:v>49</c:v>
                </c:pt>
                <c:pt idx="287">
                  <c:v>55</c:v>
                </c:pt>
                <c:pt idx="288">
                  <c:v>47</c:v>
                </c:pt>
                <c:pt idx="289">
                  <c:v>50</c:v>
                </c:pt>
                <c:pt idx="290">
                  <c:v>41</c:v>
                </c:pt>
                <c:pt idx="291">
                  <c:v>44</c:v>
                </c:pt>
                <c:pt idx="292">
                  <c:v>33</c:v>
                </c:pt>
                <c:pt idx="293">
                  <c:v>31</c:v>
                </c:pt>
                <c:pt idx="294">
                  <c:v>30</c:v>
                </c:pt>
                <c:pt idx="295">
                  <c:v>29</c:v>
                </c:pt>
                <c:pt idx="296">
                  <c:v>31</c:v>
                </c:pt>
                <c:pt idx="297">
                  <c:v>31</c:v>
                </c:pt>
                <c:pt idx="298">
                  <c:v>19</c:v>
                </c:pt>
                <c:pt idx="299">
                  <c:v>26</c:v>
                </c:pt>
                <c:pt idx="300">
                  <c:v>24</c:v>
                </c:pt>
                <c:pt idx="30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6-4116-9174-59E21E7B04F8}"/>
            </c:ext>
          </c:extLst>
        </c:ser>
        <c:ser>
          <c:idx val="1"/>
          <c:order val="1"/>
          <c:tx>
            <c:strRef>
              <c:f>[6]LDAU!$E$1</c:f>
              <c:strCache>
                <c:ptCount val="1"/>
                <c:pt idx="0">
                  <c:v>LWAU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5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16-4116-9174-59E21E7B04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[6]LDAU!$A$2:$A$303</c:f>
              <c:numCache>
                <c:formatCode>General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[6]LDAU!$E$2:$E$303</c:f>
              <c:numCache>
                <c:formatCode>General</c:formatCode>
                <c:ptCount val="302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73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88</c:v>
                </c:pt>
                <c:pt idx="55">
                  <c:v>88</c:v>
                </c:pt>
                <c:pt idx="56">
                  <c:v>88</c:v>
                </c:pt>
                <c:pt idx="57">
                  <c:v>74</c:v>
                </c:pt>
                <c:pt idx="58">
                  <c:v>74</c:v>
                </c:pt>
                <c:pt idx="59">
                  <c:v>74</c:v>
                </c:pt>
                <c:pt idx="60">
                  <c:v>74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76</c:v>
                </c:pt>
                <c:pt idx="65">
                  <c:v>76</c:v>
                </c:pt>
                <c:pt idx="66">
                  <c:v>76</c:v>
                </c:pt>
                <c:pt idx="67">
                  <c:v>76</c:v>
                </c:pt>
                <c:pt idx="68">
                  <c:v>76</c:v>
                </c:pt>
                <c:pt idx="69">
                  <c:v>76</c:v>
                </c:pt>
                <c:pt idx="70">
                  <c:v>76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78</c:v>
                </c:pt>
                <c:pt idx="79">
                  <c:v>78</c:v>
                </c:pt>
                <c:pt idx="80">
                  <c:v>78</c:v>
                </c:pt>
                <c:pt idx="81">
                  <c:v>78</c:v>
                </c:pt>
                <c:pt idx="82">
                  <c:v>78</c:v>
                </c:pt>
                <c:pt idx="83">
                  <c:v>78</c:v>
                </c:pt>
                <c:pt idx="84">
                  <c:v>78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69</c:v>
                </c:pt>
                <c:pt idx="90">
                  <c:v>69</c:v>
                </c:pt>
                <c:pt idx="91">
                  <c:v>69</c:v>
                </c:pt>
                <c:pt idx="92">
                  <c:v>66</c:v>
                </c:pt>
                <c:pt idx="93">
                  <c:v>66</c:v>
                </c:pt>
                <c:pt idx="94">
                  <c:v>66</c:v>
                </c:pt>
                <c:pt idx="95">
                  <c:v>66</c:v>
                </c:pt>
                <c:pt idx="96">
                  <c:v>66</c:v>
                </c:pt>
                <c:pt idx="97">
                  <c:v>66</c:v>
                </c:pt>
                <c:pt idx="98">
                  <c:v>66</c:v>
                </c:pt>
                <c:pt idx="99">
                  <c:v>71</c:v>
                </c:pt>
                <c:pt idx="100">
                  <c:v>71</c:v>
                </c:pt>
                <c:pt idx="101">
                  <c:v>71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71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63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67</c:v>
                </c:pt>
                <c:pt idx="120">
                  <c:v>71</c:v>
                </c:pt>
                <c:pt idx="121">
                  <c:v>71</c:v>
                </c:pt>
                <c:pt idx="122">
                  <c:v>71</c:v>
                </c:pt>
                <c:pt idx="123">
                  <c:v>71</c:v>
                </c:pt>
                <c:pt idx="124">
                  <c:v>71</c:v>
                </c:pt>
                <c:pt idx="125">
                  <c:v>71</c:v>
                </c:pt>
                <c:pt idx="126">
                  <c:v>71</c:v>
                </c:pt>
                <c:pt idx="127">
                  <c:v>74</c:v>
                </c:pt>
                <c:pt idx="128">
                  <c:v>74</c:v>
                </c:pt>
                <c:pt idx="129">
                  <c:v>74</c:v>
                </c:pt>
                <c:pt idx="130">
                  <c:v>74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72</c:v>
                </c:pt>
                <c:pt idx="135">
                  <c:v>72</c:v>
                </c:pt>
                <c:pt idx="136">
                  <c:v>72</c:v>
                </c:pt>
                <c:pt idx="137">
                  <c:v>72</c:v>
                </c:pt>
                <c:pt idx="138">
                  <c:v>72</c:v>
                </c:pt>
                <c:pt idx="139">
                  <c:v>72</c:v>
                </c:pt>
                <c:pt idx="140">
                  <c:v>72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</c:v>
                </c:pt>
                <c:pt idx="152">
                  <c:v>55</c:v>
                </c:pt>
                <c:pt idx="153">
                  <c:v>55</c:v>
                </c:pt>
                <c:pt idx="154">
                  <c:v>55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55</c:v>
                </c:pt>
                <c:pt idx="163">
                  <c:v>55</c:v>
                </c:pt>
                <c:pt idx="164">
                  <c:v>55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86</c:v>
                </c:pt>
                <c:pt idx="191">
                  <c:v>86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86</c:v>
                </c:pt>
                <c:pt idx="196">
                  <c:v>86</c:v>
                </c:pt>
                <c:pt idx="197">
                  <c:v>107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107</c:v>
                </c:pt>
                <c:pt idx="202">
                  <c:v>107</c:v>
                </c:pt>
                <c:pt idx="203">
                  <c:v>107</c:v>
                </c:pt>
                <c:pt idx="204">
                  <c:v>110</c:v>
                </c:pt>
                <c:pt idx="205">
                  <c:v>110</c:v>
                </c:pt>
                <c:pt idx="206">
                  <c:v>110</c:v>
                </c:pt>
                <c:pt idx="207">
                  <c:v>110</c:v>
                </c:pt>
                <c:pt idx="208">
                  <c:v>110</c:v>
                </c:pt>
                <c:pt idx="209">
                  <c:v>110</c:v>
                </c:pt>
                <c:pt idx="210">
                  <c:v>110</c:v>
                </c:pt>
                <c:pt idx="211">
                  <c:v>134</c:v>
                </c:pt>
                <c:pt idx="212">
                  <c:v>134</c:v>
                </c:pt>
                <c:pt idx="213">
                  <c:v>134</c:v>
                </c:pt>
                <c:pt idx="214">
                  <c:v>134</c:v>
                </c:pt>
                <c:pt idx="215">
                  <c:v>134</c:v>
                </c:pt>
                <c:pt idx="216">
                  <c:v>134</c:v>
                </c:pt>
                <c:pt idx="217">
                  <c:v>134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118</c:v>
                </c:pt>
                <c:pt idx="229">
                  <c:v>118</c:v>
                </c:pt>
                <c:pt idx="230">
                  <c:v>118</c:v>
                </c:pt>
                <c:pt idx="231">
                  <c:v>118</c:v>
                </c:pt>
                <c:pt idx="232">
                  <c:v>128</c:v>
                </c:pt>
                <c:pt idx="233">
                  <c:v>128</c:v>
                </c:pt>
                <c:pt idx="234">
                  <c:v>128</c:v>
                </c:pt>
                <c:pt idx="235">
                  <c:v>128</c:v>
                </c:pt>
                <c:pt idx="236">
                  <c:v>128</c:v>
                </c:pt>
                <c:pt idx="237">
                  <c:v>128</c:v>
                </c:pt>
                <c:pt idx="238">
                  <c:v>128</c:v>
                </c:pt>
                <c:pt idx="239">
                  <c:v>219</c:v>
                </c:pt>
                <c:pt idx="240">
                  <c:v>219</c:v>
                </c:pt>
                <c:pt idx="241">
                  <c:v>219</c:v>
                </c:pt>
                <c:pt idx="242">
                  <c:v>219</c:v>
                </c:pt>
                <c:pt idx="243">
                  <c:v>219</c:v>
                </c:pt>
                <c:pt idx="244">
                  <c:v>219</c:v>
                </c:pt>
                <c:pt idx="245">
                  <c:v>219</c:v>
                </c:pt>
                <c:pt idx="246">
                  <c:v>243</c:v>
                </c:pt>
                <c:pt idx="247">
                  <c:v>243</c:v>
                </c:pt>
                <c:pt idx="248">
                  <c:v>243</c:v>
                </c:pt>
                <c:pt idx="249">
                  <c:v>243</c:v>
                </c:pt>
                <c:pt idx="250">
                  <c:v>243</c:v>
                </c:pt>
                <c:pt idx="251">
                  <c:v>243</c:v>
                </c:pt>
                <c:pt idx="252">
                  <c:v>243</c:v>
                </c:pt>
                <c:pt idx="253">
                  <c:v>265</c:v>
                </c:pt>
                <c:pt idx="254">
                  <c:v>265</c:v>
                </c:pt>
                <c:pt idx="255">
                  <c:v>265</c:v>
                </c:pt>
                <c:pt idx="256">
                  <c:v>265</c:v>
                </c:pt>
                <c:pt idx="257">
                  <c:v>265</c:v>
                </c:pt>
                <c:pt idx="258">
                  <c:v>265</c:v>
                </c:pt>
                <c:pt idx="259">
                  <c:v>265</c:v>
                </c:pt>
                <c:pt idx="260">
                  <c:v>228</c:v>
                </c:pt>
                <c:pt idx="261">
                  <c:v>228</c:v>
                </c:pt>
                <c:pt idx="262">
                  <c:v>228</c:v>
                </c:pt>
                <c:pt idx="263">
                  <c:v>228</c:v>
                </c:pt>
                <c:pt idx="264">
                  <c:v>228</c:v>
                </c:pt>
                <c:pt idx="265">
                  <c:v>228</c:v>
                </c:pt>
                <c:pt idx="266">
                  <c:v>228</c:v>
                </c:pt>
                <c:pt idx="267">
                  <c:v>210</c:v>
                </c:pt>
                <c:pt idx="268">
                  <c:v>210</c:v>
                </c:pt>
                <c:pt idx="269">
                  <c:v>210</c:v>
                </c:pt>
                <c:pt idx="270">
                  <c:v>210</c:v>
                </c:pt>
                <c:pt idx="271">
                  <c:v>210</c:v>
                </c:pt>
                <c:pt idx="272">
                  <c:v>210</c:v>
                </c:pt>
                <c:pt idx="273">
                  <c:v>210</c:v>
                </c:pt>
                <c:pt idx="274">
                  <c:v>234</c:v>
                </c:pt>
                <c:pt idx="275">
                  <c:v>234</c:v>
                </c:pt>
                <c:pt idx="276">
                  <c:v>234</c:v>
                </c:pt>
                <c:pt idx="277">
                  <c:v>234</c:v>
                </c:pt>
                <c:pt idx="278">
                  <c:v>234</c:v>
                </c:pt>
                <c:pt idx="279">
                  <c:v>234</c:v>
                </c:pt>
                <c:pt idx="280">
                  <c:v>234</c:v>
                </c:pt>
                <c:pt idx="281">
                  <c:v>194</c:v>
                </c:pt>
                <c:pt idx="282">
                  <c:v>194</c:v>
                </c:pt>
                <c:pt idx="283">
                  <c:v>194</c:v>
                </c:pt>
                <c:pt idx="284">
                  <c:v>194</c:v>
                </c:pt>
                <c:pt idx="285">
                  <c:v>194</c:v>
                </c:pt>
                <c:pt idx="286">
                  <c:v>194</c:v>
                </c:pt>
                <c:pt idx="287">
                  <c:v>194</c:v>
                </c:pt>
                <c:pt idx="288">
                  <c:v>171</c:v>
                </c:pt>
                <c:pt idx="289">
                  <c:v>171</c:v>
                </c:pt>
                <c:pt idx="290">
                  <c:v>171</c:v>
                </c:pt>
                <c:pt idx="291">
                  <c:v>171</c:v>
                </c:pt>
                <c:pt idx="292">
                  <c:v>171</c:v>
                </c:pt>
                <c:pt idx="293">
                  <c:v>171</c:v>
                </c:pt>
                <c:pt idx="294">
                  <c:v>171</c:v>
                </c:pt>
                <c:pt idx="295">
                  <c:v>139</c:v>
                </c:pt>
                <c:pt idx="296">
                  <c:v>139</c:v>
                </c:pt>
                <c:pt idx="297">
                  <c:v>139</c:v>
                </c:pt>
                <c:pt idx="298">
                  <c:v>139</c:v>
                </c:pt>
                <c:pt idx="299">
                  <c:v>139</c:v>
                </c:pt>
                <c:pt idx="300">
                  <c:v>139</c:v>
                </c:pt>
                <c:pt idx="30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16-4116-9174-59E21E7B04F8}"/>
            </c:ext>
          </c:extLst>
        </c:ser>
        <c:ser>
          <c:idx val="2"/>
          <c:order val="2"/>
          <c:tx>
            <c:strRef>
              <c:f>[6]LDAU!$F$1</c:f>
              <c:strCache>
                <c:ptCount val="1"/>
                <c:pt idx="0">
                  <c:v>LMAU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4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16-4116-9174-59E21E7B04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[6]LDAU!$A$2:$A$303</c:f>
              <c:numCache>
                <c:formatCode>General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[6]LDAU!$F$2:$F$303</c:f>
              <c:numCache>
                <c:formatCode>General</c:formatCode>
                <c:ptCount val="302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148</c:v>
                </c:pt>
                <c:pt idx="30">
                  <c:v>148</c:v>
                </c:pt>
                <c:pt idx="31">
                  <c:v>148</c:v>
                </c:pt>
                <c:pt idx="32">
                  <c:v>148</c:v>
                </c:pt>
                <c:pt idx="33">
                  <c:v>148</c:v>
                </c:pt>
                <c:pt idx="34">
                  <c:v>148</c:v>
                </c:pt>
                <c:pt idx="35">
                  <c:v>148</c:v>
                </c:pt>
                <c:pt idx="36">
                  <c:v>148</c:v>
                </c:pt>
                <c:pt idx="37">
                  <c:v>148</c:v>
                </c:pt>
                <c:pt idx="38">
                  <c:v>148</c:v>
                </c:pt>
                <c:pt idx="39">
                  <c:v>148</c:v>
                </c:pt>
                <c:pt idx="40">
                  <c:v>148</c:v>
                </c:pt>
                <c:pt idx="41">
                  <c:v>148</c:v>
                </c:pt>
                <c:pt idx="42">
                  <c:v>148</c:v>
                </c:pt>
                <c:pt idx="43">
                  <c:v>148</c:v>
                </c:pt>
                <c:pt idx="44">
                  <c:v>148</c:v>
                </c:pt>
                <c:pt idx="45">
                  <c:v>148</c:v>
                </c:pt>
                <c:pt idx="46">
                  <c:v>148</c:v>
                </c:pt>
                <c:pt idx="47">
                  <c:v>148</c:v>
                </c:pt>
                <c:pt idx="48">
                  <c:v>148</c:v>
                </c:pt>
                <c:pt idx="49">
                  <c:v>148</c:v>
                </c:pt>
                <c:pt idx="50">
                  <c:v>148</c:v>
                </c:pt>
                <c:pt idx="51">
                  <c:v>148</c:v>
                </c:pt>
                <c:pt idx="52">
                  <c:v>148</c:v>
                </c:pt>
                <c:pt idx="53">
                  <c:v>148</c:v>
                </c:pt>
                <c:pt idx="54">
                  <c:v>148</c:v>
                </c:pt>
                <c:pt idx="55">
                  <c:v>148</c:v>
                </c:pt>
                <c:pt idx="56">
                  <c:v>148</c:v>
                </c:pt>
                <c:pt idx="57">
                  <c:v>148</c:v>
                </c:pt>
                <c:pt idx="58">
                  <c:v>148</c:v>
                </c:pt>
                <c:pt idx="59">
                  <c:v>148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133</c:v>
                </c:pt>
                <c:pt idx="91">
                  <c:v>133</c:v>
                </c:pt>
                <c:pt idx="92">
                  <c:v>133</c:v>
                </c:pt>
                <c:pt idx="93">
                  <c:v>133</c:v>
                </c:pt>
                <c:pt idx="94">
                  <c:v>133</c:v>
                </c:pt>
                <c:pt idx="95">
                  <c:v>133</c:v>
                </c:pt>
                <c:pt idx="96">
                  <c:v>133</c:v>
                </c:pt>
                <c:pt idx="97">
                  <c:v>133</c:v>
                </c:pt>
                <c:pt idx="98">
                  <c:v>133</c:v>
                </c:pt>
                <c:pt idx="99">
                  <c:v>133</c:v>
                </c:pt>
                <c:pt idx="100">
                  <c:v>133</c:v>
                </c:pt>
                <c:pt idx="101">
                  <c:v>133</c:v>
                </c:pt>
                <c:pt idx="102">
                  <c:v>133</c:v>
                </c:pt>
                <c:pt idx="103">
                  <c:v>133</c:v>
                </c:pt>
                <c:pt idx="104">
                  <c:v>133</c:v>
                </c:pt>
                <c:pt idx="105">
                  <c:v>133</c:v>
                </c:pt>
                <c:pt idx="106">
                  <c:v>133</c:v>
                </c:pt>
                <c:pt idx="107">
                  <c:v>133</c:v>
                </c:pt>
                <c:pt idx="108">
                  <c:v>133</c:v>
                </c:pt>
                <c:pt idx="109">
                  <c:v>133</c:v>
                </c:pt>
                <c:pt idx="110">
                  <c:v>133</c:v>
                </c:pt>
                <c:pt idx="111">
                  <c:v>133</c:v>
                </c:pt>
                <c:pt idx="112">
                  <c:v>133</c:v>
                </c:pt>
                <c:pt idx="113">
                  <c:v>133</c:v>
                </c:pt>
                <c:pt idx="114">
                  <c:v>133</c:v>
                </c:pt>
                <c:pt idx="115">
                  <c:v>133</c:v>
                </c:pt>
                <c:pt idx="116">
                  <c:v>133</c:v>
                </c:pt>
                <c:pt idx="117">
                  <c:v>133</c:v>
                </c:pt>
                <c:pt idx="118">
                  <c:v>133</c:v>
                </c:pt>
                <c:pt idx="119">
                  <c:v>133</c:v>
                </c:pt>
                <c:pt idx="120">
                  <c:v>133</c:v>
                </c:pt>
                <c:pt idx="121">
                  <c:v>158</c:v>
                </c:pt>
                <c:pt idx="122">
                  <c:v>158</c:v>
                </c:pt>
                <c:pt idx="123">
                  <c:v>158</c:v>
                </c:pt>
                <c:pt idx="124">
                  <c:v>158</c:v>
                </c:pt>
                <c:pt idx="125">
                  <c:v>158</c:v>
                </c:pt>
                <c:pt idx="126">
                  <c:v>158</c:v>
                </c:pt>
                <c:pt idx="127">
                  <c:v>158</c:v>
                </c:pt>
                <c:pt idx="128">
                  <c:v>158</c:v>
                </c:pt>
                <c:pt idx="129">
                  <c:v>158</c:v>
                </c:pt>
                <c:pt idx="130">
                  <c:v>158</c:v>
                </c:pt>
                <c:pt idx="131">
                  <c:v>158</c:v>
                </c:pt>
                <c:pt idx="132">
                  <c:v>158</c:v>
                </c:pt>
                <c:pt idx="133">
                  <c:v>158</c:v>
                </c:pt>
                <c:pt idx="134">
                  <c:v>158</c:v>
                </c:pt>
                <c:pt idx="135">
                  <c:v>158</c:v>
                </c:pt>
                <c:pt idx="136">
                  <c:v>158</c:v>
                </c:pt>
                <c:pt idx="137">
                  <c:v>158</c:v>
                </c:pt>
                <c:pt idx="138">
                  <c:v>158</c:v>
                </c:pt>
                <c:pt idx="139">
                  <c:v>158</c:v>
                </c:pt>
                <c:pt idx="140">
                  <c:v>158</c:v>
                </c:pt>
                <c:pt idx="141">
                  <c:v>158</c:v>
                </c:pt>
                <c:pt idx="142">
                  <c:v>158</c:v>
                </c:pt>
                <c:pt idx="143">
                  <c:v>158</c:v>
                </c:pt>
                <c:pt idx="144">
                  <c:v>158</c:v>
                </c:pt>
                <c:pt idx="145">
                  <c:v>158</c:v>
                </c:pt>
                <c:pt idx="146">
                  <c:v>158</c:v>
                </c:pt>
                <c:pt idx="147">
                  <c:v>158</c:v>
                </c:pt>
                <c:pt idx="148">
                  <c:v>158</c:v>
                </c:pt>
                <c:pt idx="149">
                  <c:v>158</c:v>
                </c:pt>
                <c:pt idx="150">
                  <c:v>158</c:v>
                </c:pt>
                <c:pt idx="151">
                  <c:v>154</c:v>
                </c:pt>
                <c:pt idx="152">
                  <c:v>154</c:v>
                </c:pt>
                <c:pt idx="153">
                  <c:v>154</c:v>
                </c:pt>
                <c:pt idx="154">
                  <c:v>154</c:v>
                </c:pt>
                <c:pt idx="155">
                  <c:v>154</c:v>
                </c:pt>
                <c:pt idx="156">
                  <c:v>154</c:v>
                </c:pt>
                <c:pt idx="157">
                  <c:v>154</c:v>
                </c:pt>
                <c:pt idx="158">
                  <c:v>154</c:v>
                </c:pt>
                <c:pt idx="159">
                  <c:v>154</c:v>
                </c:pt>
                <c:pt idx="160">
                  <c:v>154</c:v>
                </c:pt>
                <c:pt idx="161">
                  <c:v>154</c:v>
                </c:pt>
                <c:pt idx="162">
                  <c:v>154</c:v>
                </c:pt>
                <c:pt idx="163">
                  <c:v>154</c:v>
                </c:pt>
                <c:pt idx="164">
                  <c:v>154</c:v>
                </c:pt>
                <c:pt idx="165">
                  <c:v>154</c:v>
                </c:pt>
                <c:pt idx="166">
                  <c:v>154</c:v>
                </c:pt>
                <c:pt idx="167">
                  <c:v>154</c:v>
                </c:pt>
                <c:pt idx="168">
                  <c:v>154</c:v>
                </c:pt>
                <c:pt idx="169">
                  <c:v>154</c:v>
                </c:pt>
                <c:pt idx="170">
                  <c:v>154</c:v>
                </c:pt>
                <c:pt idx="171">
                  <c:v>154</c:v>
                </c:pt>
                <c:pt idx="172">
                  <c:v>154</c:v>
                </c:pt>
                <c:pt idx="173">
                  <c:v>154</c:v>
                </c:pt>
                <c:pt idx="174">
                  <c:v>154</c:v>
                </c:pt>
                <c:pt idx="175">
                  <c:v>154</c:v>
                </c:pt>
                <c:pt idx="176">
                  <c:v>154</c:v>
                </c:pt>
                <c:pt idx="177">
                  <c:v>154</c:v>
                </c:pt>
                <c:pt idx="178">
                  <c:v>154</c:v>
                </c:pt>
                <c:pt idx="179">
                  <c:v>154</c:v>
                </c:pt>
                <c:pt idx="180">
                  <c:v>154</c:v>
                </c:pt>
                <c:pt idx="181">
                  <c:v>154</c:v>
                </c:pt>
                <c:pt idx="182">
                  <c:v>213</c:v>
                </c:pt>
                <c:pt idx="183">
                  <c:v>213</c:v>
                </c:pt>
                <c:pt idx="184">
                  <c:v>213</c:v>
                </c:pt>
                <c:pt idx="185">
                  <c:v>213</c:v>
                </c:pt>
                <c:pt idx="186">
                  <c:v>213</c:v>
                </c:pt>
                <c:pt idx="187">
                  <c:v>213</c:v>
                </c:pt>
                <c:pt idx="188">
                  <c:v>213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213</c:v>
                </c:pt>
                <c:pt idx="193">
                  <c:v>213</c:v>
                </c:pt>
                <c:pt idx="194">
                  <c:v>213</c:v>
                </c:pt>
                <c:pt idx="195">
                  <c:v>213</c:v>
                </c:pt>
                <c:pt idx="196">
                  <c:v>213</c:v>
                </c:pt>
                <c:pt idx="197">
                  <c:v>213</c:v>
                </c:pt>
                <c:pt idx="198">
                  <c:v>213</c:v>
                </c:pt>
                <c:pt idx="199">
                  <c:v>213</c:v>
                </c:pt>
                <c:pt idx="200">
                  <c:v>213</c:v>
                </c:pt>
                <c:pt idx="201">
                  <c:v>213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213</c:v>
                </c:pt>
                <c:pt idx="207">
                  <c:v>213</c:v>
                </c:pt>
                <c:pt idx="208">
                  <c:v>213</c:v>
                </c:pt>
                <c:pt idx="209">
                  <c:v>213</c:v>
                </c:pt>
                <c:pt idx="210">
                  <c:v>213</c:v>
                </c:pt>
                <c:pt idx="211">
                  <c:v>213</c:v>
                </c:pt>
                <c:pt idx="212">
                  <c:v>213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532</c:v>
                </c:pt>
                <c:pt idx="242">
                  <c:v>532</c:v>
                </c:pt>
                <c:pt idx="243">
                  <c:v>532</c:v>
                </c:pt>
                <c:pt idx="244">
                  <c:v>532</c:v>
                </c:pt>
                <c:pt idx="245">
                  <c:v>532</c:v>
                </c:pt>
                <c:pt idx="246">
                  <c:v>532</c:v>
                </c:pt>
                <c:pt idx="247">
                  <c:v>532</c:v>
                </c:pt>
                <c:pt idx="248">
                  <c:v>532</c:v>
                </c:pt>
                <c:pt idx="249">
                  <c:v>532</c:v>
                </c:pt>
                <c:pt idx="250">
                  <c:v>532</c:v>
                </c:pt>
                <c:pt idx="251">
                  <c:v>532</c:v>
                </c:pt>
                <c:pt idx="252">
                  <c:v>532</c:v>
                </c:pt>
                <c:pt idx="253">
                  <c:v>532</c:v>
                </c:pt>
                <c:pt idx="254">
                  <c:v>532</c:v>
                </c:pt>
                <c:pt idx="255">
                  <c:v>532</c:v>
                </c:pt>
                <c:pt idx="256">
                  <c:v>532</c:v>
                </c:pt>
                <c:pt idx="257">
                  <c:v>532</c:v>
                </c:pt>
                <c:pt idx="258">
                  <c:v>532</c:v>
                </c:pt>
                <c:pt idx="259">
                  <c:v>532</c:v>
                </c:pt>
                <c:pt idx="260">
                  <c:v>532</c:v>
                </c:pt>
                <c:pt idx="261">
                  <c:v>532</c:v>
                </c:pt>
                <c:pt idx="262">
                  <c:v>532</c:v>
                </c:pt>
                <c:pt idx="263">
                  <c:v>532</c:v>
                </c:pt>
                <c:pt idx="264">
                  <c:v>532</c:v>
                </c:pt>
                <c:pt idx="265">
                  <c:v>532</c:v>
                </c:pt>
                <c:pt idx="266">
                  <c:v>532</c:v>
                </c:pt>
                <c:pt idx="267">
                  <c:v>532</c:v>
                </c:pt>
                <c:pt idx="268">
                  <c:v>532</c:v>
                </c:pt>
                <c:pt idx="269">
                  <c:v>532</c:v>
                </c:pt>
                <c:pt idx="270">
                  <c:v>532</c:v>
                </c:pt>
                <c:pt idx="271">
                  <c:v>532</c:v>
                </c:pt>
                <c:pt idx="272">
                  <c:v>341</c:v>
                </c:pt>
                <c:pt idx="273">
                  <c:v>341</c:v>
                </c:pt>
                <c:pt idx="274">
                  <c:v>341</c:v>
                </c:pt>
                <c:pt idx="275">
                  <c:v>341</c:v>
                </c:pt>
                <c:pt idx="276">
                  <c:v>341</c:v>
                </c:pt>
                <c:pt idx="277">
                  <c:v>341</c:v>
                </c:pt>
                <c:pt idx="278">
                  <c:v>341</c:v>
                </c:pt>
                <c:pt idx="279">
                  <c:v>341</c:v>
                </c:pt>
                <c:pt idx="280">
                  <c:v>341</c:v>
                </c:pt>
                <c:pt idx="281">
                  <c:v>341</c:v>
                </c:pt>
                <c:pt idx="282">
                  <c:v>341</c:v>
                </c:pt>
                <c:pt idx="283">
                  <c:v>341</c:v>
                </c:pt>
                <c:pt idx="284">
                  <c:v>341</c:v>
                </c:pt>
                <c:pt idx="285">
                  <c:v>341</c:v>
                </c:pt>
                <c:pt idx="286">
                  <c:v>341</c:v>
                </c:pt>
                <c:pt idx="287">
                  <c:v>341</c:v>
                </c:pt>
                <c:pt idx="288">
                  <c:v>341</c:v>
                </c:pt>
                <c:pt idx="289">
                  <c:v>341</c:v>
                </c:pt>
                <c:pt idx="290">
                  <c:v>341</c:v>
                </c:pt>
                <c:pt idx="291">
                  <c:v>341</c:v>
                </c:pt>
                <c:pt idx="292">
                  <c:v>341</c:v>
                </c:pt>
                <c:pt idx="293">
                  <c:v>341</c:v>
                </c:pt>
                <c:pt idx="294">
                  <c:v>341</c:v>
                </c:pt>
                <c:pt idx="295">
                  <c:v>341</c:v>
                </c:pt>
                <c:pt idx="296">
                  <c:v>341</c:v>
                </c:pt>
                <c:pt idx="297">
                  <c:v>341</c:v>
                </c:pt>
                <c:pt idx="298">
                  <c:v>341</c:v>
                </c:pt>
                <c:pt idx="299">
                  <c:v>341</c:v>
                </c:pt>
                <c:pt idx="300">
                  <c:v>341</c:v>
                </c:pt>
                <c:pt idx="301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16-4116-9174-59E21E7B0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670367"/>
        <c:axId val="683662463"/>
      </c:lineChart>
      <c:catAx>
        <c:axId val="68367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662463"/>
        <c:crosses val="autoZero"/>
        <c:auto val="1"/>
        <c:lblAlgn val="ctr"/>
        <c:lblOffset val="100"/>
        <c:noMultiLvlLbl val="0"/>
      </c:catAx>
      <c:valAx>
        <c:axId val="683662463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</a:t>
                </a:r>
                <a:r>
                  <a:rPr lang="en-US"/>
                  <a:t>LDAU, LWAU, LMAU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67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лояльности</a:t>
            </a:r>
            <a:r>
              <a:rPr lang="ru-RU" sz="1600" b="1" baseline="0"/>
              <a:t> </a:t>
            </a:r>
            <a:r>
              <a:rPr lang="ru-RU" sz="1600" b="1"/>
              <a:t>в игре</a:t>
            </a:r>
            <a:endParaRPr lang="en-US" sz="1600" b="1"/>
          </a:p>
        </c:rich>
      </c:tx>
      <c:layout>
        <c:manualLayout>
          <c:xMode val="edge"/>
          <c:yMode val="edge"/>
          <c:x val="0.19988804365556001"/>
          <c:y val="2.6012634708286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'[7]Query result'!$B$1</c:f>
              <c:strCache>
                <c:ptCount val="1"/>
                <c:pt idx="0">
                  <c:v>cnt_user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'[7]Query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'[7]Query result'!$B$2:$B$11</c:f>
              <c:numCache>
                <c:formatCode>General</c:formatCode>
                <c:ptCount val="10"/>
                <c:pt idx="0">
                  <c:v>19</c:v>
                </c:pt>
                <c:pt idx="1">
                  <c:v>32</c:v>
                </c:pt>
                <c:pt idx="2">
                  <c:v>29</c:v>
                </c:pt>
                <c:pt idx="3">
                  <c:v>35</c:v>
                </c:pt>
                <c:pt idx="4">
                  <c:v>38</c:v>
                </c:pt>
                <c:pt idx="5">
                  <c:v>38</c:v>
                </c:pt>
                <c:pt idx="6">
                  <c:v>64</c:v>
                </c:pt>
                <c:pt idx="7">
                  <c:v>90</c:v>
                </c:pt>
                <c:pt idx="8">
                  <c:v>184</c:v>
                </c:pt>
                <c:pt idx="9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1-4953-88FE-4B50614D1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305871"/>
        <c:axId val="833301295"/>
      </c:barChart>
      <c:catAx>
        <c:axId val="83330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301295"/>
        <c:crosses val="autoZero"/>
        <c:auto val="1"/>
        <c:lblAlgn val="ctr"/>
        <c:lblOffset val="100"/>
        <c:noMultiLvlLbl val="0"/>
      </c:catAx>
      <c:valAx>
        <c:axId val="8333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юзеров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3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Динамика </a:t>
            </a:r>
            <a:r>
              <a:rPr lang="en-US" sz="1600" b="1"/>
              <a:t>LMAU</a:t>
            </a:r>
            <a:r>
              <a:rPr lang="ru-RU" sz="1600" b="1"/>
              <a:t> при комбинации </a:t>
            </a:r>
          </a:p>
          <a:p>
            <a:pPr>
              <a:defRPr/>
            </a:pPr>
            <a:r>
              <a:rPr lang="ru-RU" sz="1600" b="1"/>
              <a:t>критериев лояльности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'[8]Query result'!$B$1</c:f>
              <c:strCache>
                <c:ptCount val="1"/>
                <c:pt idx="0">
                  <c:v>Кол-во при условии ИЛИ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74-4658-8E7F-5EC1F0311F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'[8]Query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'[8]Query result'!$B$2:$B$11</c:f>
              <c:numCache>
                <c:formatCode>General</c:formatCode>
                <c:ptCount val="10"/>
                <c:pt idx="0">
                  <c:v>91</c:v>
                </c:pt>
                <c:pt idx="1">
                  <c:v>170</c:v>
                </c:pt>
                <c:pt idx="2">
                  <c:v>161</c:v>
                </c:pt>
                <c:pt idx="3">
                  <c:v>156</c:v>
                </c:pt>
                <c:pt idx="4">
                  <c:v>179</c:v>
                </c:pt>
                <c:pt idx="5">
                  <c:v>176</c:v>
                </c:pt>
                <c:pt idx="6">
                  <c:v>255</c:v>
                </c:pt>
                <c:pt idx="7">
                  <c:v>311</c:v>
                </c:pt>
                <c:pt idx="8">
                  <c:v>655</c:v>
                </c:pt>
                <c:pt idx="9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4-4658-8E7F-5EC1F0311F8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4526911"/>
        <c:axId val="834546047"/>
      </c:lineChart>
      <c:lineChart>
        <c:grouping val="standard"/>
        <c:varyColors val="0"/>
        <c:ser>
          <c:idx val="1"/>
          <c:order val="1"/>
          <c:tx>
            <c:strRef>
              <c:f>'[8]Query result'!$C$1</c:f>
              <c:strCache>
                <c:ptCount val="1"/>
                <c:pt idx="0">
                  <c:v>Кол-во при условии 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74-4658-8E7F-5EC1F0311F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'[8]Query result'!$A$2:$A$11</c:f>
              <c:numCache>
                <c:formatCode>General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'[8]Query result'!$C$2:$C$11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16</c:v>
                </c:pt>
                <c:pt idx="6">
                  <c:v>22</c:v>
                </c:pt>
                <c:pt idx="7">
                  <c:v>29</c:v>
                </c:pt>
                <c:pt idx="8">
                  <c:v>61</c:v>
                </c:pt>
                <c:pt idx="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74-4658-8E7F-5EC1F0311F8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0751279"/>
        <c:axId val="1080744207"/>
      </c:lineChart>
      <c:catAx>
        <c:axId val="834526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546047"/>
        <c:crosses val="autoZero"/>
        <c:auto val="1"/>
        <c:lblAlgn val="ctr"/>
        <c:lblOffset val="100"/>
        <c:noMultiLvlLbl val="0"/>
      </c:catAx>
      <c:valAx>
        <c:axId val="8345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при условии </a:t>
                </a:r>
                <a:r>
                  <a:rPr lang="ru-RU" b="1"/>
                  <a:t>ИЛИ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526911"/>
        <c:crosses val="autoZero"/>
        <c:crossBetween val="between"/>
      </c:valAx>
      <c:valAx>
        <c:axId val="1080744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при условии </a:t>
                </a:r>
                <a:r>
                  <a:rPr lang="ru-RU" b="1"/>
                  <a:t>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751279"/>
        <c:crosses val="max"/>
        <c:crossBetween val="between"/>
      </c:valAx>
      <c:catAx>
        <c:axId val="1080751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0744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99060</xdr:rowOff>
    </xdr:from>
    <xdr:to>
      <xdr:col>11</xdr:col>
      <xdr:colOff>129540</xdr:colOff>
      <xdr:row>18</xdr:row>
      <xdr:rowOff>160026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47358BF-3A09-4083-A828-C884FE7A2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579120</xdr:colOff>
      <xdr:row>20</xdr:row>
      <xdr:rowOff>76206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9D325F4-556C-4ACF-BBA2-B0F98FF3B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83820</xdr:colOff>
      <xdr:row>19</xdr:row>
      <xdr:rowOff>129546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A92A38-E2F3-4358-B1C0-357BA0CF3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480060</xdr:colOff>
      <xdr:row>20</xdr:row>
      <xdr:rowOff>30486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774753-1868-4753-ACAE-64A95480B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563880</xdr:colOff>
      <xdr:row>26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1D8C27A-0CA8-46E0-9703-2B7FFBAAF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19</xdr:col>
      <xdr:colOff>601980</xdr:colOff>
      <xdr:row>55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E25F940-0C85-4D53-B79C-23B34E8A6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17</xdr:col>
      <xdr:colOff>457200</xdr:colOff>
      <xdr:row>20</xdr:row>
      <xdr:rowOff>156210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E65F123-14DB-4220-99C7-65DA305A5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518160</xdr:colOff>
      <xdr:row>19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E8002D-1054-4782-9327-36CBC4BEB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601980</xdr:colOff>
      <xdr:row>23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0C751D-2268-4466-8597-6291B3E53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80;&#1085;&#1072;&#1084;&#1080;&#1082;&#1072;_&#1076;&#1083;&#1080;&#1085;&#1085;&#1099;&#1093;_&#1089;&#1077;&#1089;&#1089;&#1080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80;&#1085;&#1072;&#1084;&#1080;&#1082;&#1072;_&#1089;&#1088;&#1077;&#1076;&#1085;&#1077;&#1080;_&#1076;&#1083;&#1080;&#1090;_&#1090;&#1080;_&#1080;&#1075;&#1088;&#1086;&#1074;&#1086;&#1080;_&#1089;&#1077;&#1089;&#1089;&#1080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4;&#1072;&#1096;&#1082;&#1072;%20&#1058;&#1047;-1%20&#1047;&#1072;&#1087;&#1086;&#1088;&#1086;&#1097;&#1077;&#1085;&#1082;&#1086;%20&#1043;&#1091;&#1079;&#1077;&#1083;&#11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8;&#1072;&#1089;&#1087;&#1088;&#1077;&#1076;&#1077;&#1083;&#1077;&#1085;&#1080;&#1077;_&#1087;&#1086;_&#1084;&#1077;&#1089;&#1103;&#1094;&#1072;&#1084;_&#1080;&#1075;&#1088;&#1086;&#1074;&#1099;&#1093;_&#1089;&#1077;&#1089;&#1089;&#1080;&#108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47;-3%20LDAU,%20LMAU,%20LWAU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47;-3%20&#1076;&#1080;&#1085;&#1072;&#1084;&#1080;&#1082;&#1072;%20&#1087;&#1086;%201000%20&#1088;&#1091;&#1073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47;-3%20&#1086;&#1073;&#1072;%20&#1082;&#1088;&#1080;&#1090;&#1077;&#1088;&#1080;&#1103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sult"/>
    </sheetNames>
    <sheetDataSet>
      <sheetData sheetId="0">
        <row r="1">
          <cell r="B1" t="str">
            <v>share_long</v>
          </cell>
        </row>
        <row r="2">
          <cell r="A2">
            <v>44743</v>
          </cell>
          <cell r="B2">
            <v>0.66811751904243744</v>
          </cell>
        </row>
        <row r="3">
          <cell r="A3">
            <v>44774</v>
          </cell>
          <cell r="B3">
            <v>0.69244288224956063</v>
          </cell>
        </row>
        <row r="4">
          <cell r="A4">
            <v>44805</v>
          </cell>
          <cell r="B4">
            <v>0.69154518950437316</v>
          </cell>
        </row>
        <row r="5">
          <cell r="A5">
            <v>44835</v>
          </cell>
          <cell r="B5">
            <v>0.6843559977888336</v>
          </cell>
        </row>
        <row r="6">
          <cell r="A6">
            <v>44866</v>
          </cell>
          <cell r="B6">
            <v>0.63607342378292098</v>
          </cell>
        </row>
        <row r="7">
          <cell r="A7">
            <v>44896</v>
          </cell>
          <cell r="B7">
            <v>0.56372549019607843</v>
          </cell>
        </row>
        <row r="8">
          <cell r="A8">
            <v>44927</v>
          </cell>
          <cell r="B8">
            <v>0.65014084507042258</v>
          </cell>
        </row>
        <row r="9">
          <cell r="A9">
            <v>44958</v>
          </cell>
          <cell r="B9">
            <v>0.66941128036228903</v>
          </cell>
        </row>
        <row r="10">
          <cell r="A10">
            <v>44986</v>
          </cell>
          <cell r="B10">
            <v>0.6426187419768935</v>
          </cell>
        </row>
        <row r="11">
          <cell r="A11">
            <v>45017</v>
          </cell>
          <cell r="B11">
            <v>0.70027752081406103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sult"/>
    </sheetNames>
    <sheetDataSet>
      <sheetData sheetId="0">
        <row r="1">
          <cell r="B1" t="str">
            <v>avg_len</v>
          </cell>
        </row>
        <row r="2">
          <cell r="A2">
            <v>44743</v>
          </cell>
          <cell r="B2">
            <v>2.2188248095756258</v>
          </cell>
        </row>
        <row r="3">
          <cell r="A3">
            <v>44774</v>
          </cell>
          <cell r="B3">
            <v>2.3230326108181996</v>
          </cell>
        </row>
        <row r="4">
          <cell r="A4">
            <v>44805</v>
          </cell>
          <cell r="B4">
            <v>2.2760932944606416</v>
          </cell>
        </row>
        <row r="5">
          <cell r="A5">
            <v>44835</v>
          </cell>
          <cell r="B5">
            <v>2.3715035931453841</v>
          </cell>
        </row>
        <row r="6">
          <cell r="A6">
            <v>44866</v>
          </cell>
          <cell r="B6">
            <v>2.5163474328278799</v>
          </cell>
        </row>
        <row r="7">
          <cell r="A7">
            <v>44896</v>
          </cell>
          <cell r="B7">
            <v>2.731181917211329</v>
          </cell>
        </row>
        <row r="8">
          <cell r="A8">
            <v>44927</v>
          </cell>
          <cell r="B8">
            <v>2.3998779342723005</v>
          </cell>
        </row>
        <row r="9">
          <cell r="A9">
            <v>44958</v>
          </cell>
          <cell r="B9">
            <v>2.2895430218196791</v>
          </cell>
        </row>
        <row r="10">
          <cell r="A10">
            <v>44986</v>
          </cell>
          <cell r="B10">
            <v>5.5359777492511766</v>
          </cell>
        </row>
        <row r="11">
          <cell r="A11">
            <v>45017</v>
          </cell>
          <cell r="B11">
            <v>2.3343766060232296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U"/>
      <sheetName val="WAU"/>
      <sheetName val="MAU"/>
    </sheetNames>
    <sheetDataSet>
      <sheetData sheetId="0">
        <row r="1">
          <cell r="B1" t="str">
            <v>DAU</v>
          </cell>
          <cell r="E1" t="str">
            <v>WAU</v>
          </cell>
          <cell r="F1" t="str">
            <v>MAU</v>
          </cell>
          <cell r="G1" t="str">
            <v>SF (еженедельно)</v>
          </cell>
          <cell r="H1" t="str">
            <v>SF (ежемесячно)</v>
          </cell>
        </row>
        <row r="2">
          <cell r="A2">
            <v>44744</v>
          </cell>
          <cell r="B2">
            <v>3</v>
          </cell>
          <cell r="E2">
            <v>6</v>
          </cell>
          <cell r="F2">
            <v>193</v>
          </cell>
          <cell r="G2">
            <v>0.5</v>
          </cell>
          <cell r="H2">
            <v>1.5544041450777202E-2</v>
          </cell>
        </row>
        <row r="3">
          <cell r="A3">
            <v>44745</v>
          </cell>
          <cell r="B3">
            <v>6</v>
          </cell>
          <cell r="E3">
            <v>6</v>
          </cell>
          <cell r="F3">
            <v>193</v>
          </cell>
          <cell r="G3">
            <v>1</v>
          </cell>
          <cell r="H3">
            <v>3.1088082901554404E-2</v>
          </cell>
        </row>
        <row r="4">
          <cell r="A4">
            <v>44746</v>
          </cell>
          <cell r="B4">
            <v>5</v>
          </cell>
          <cell r="E4">
            <v>59</v>
          </cell>
          <cell r="F4">
            <v>193</v>
          </cell>
          <cell r="G4">
            <v>8.4745762711864403E-2</v>
          </cell>
          <cell r="H4">
            <v>2.5906735751295335E-2</v>
          </cell>
        </row>
        <row r="5">
          <cell r="A5">
            <v>44747</v>
          </cell>
          <cell r="B5">
            <v>10</v>
          </cell>
          <cell r="E5">
            <v>59</v>
          </cell>
          <cell r="F5">
            <v>193</v>
          </cell>
          <cell r="G5">
            <v>0.16949152542372881</v>
          </cell>
          <cell r="H5">
            <v>5.181347150259067E-2</v>
          </cell>
        </row>
        <row r="6">
          <cell r="A6">
            <v>44748</v>
          </cell>
          <cell r="B6">
            <v>5</v>
          </cell>
          <cell r="E6">
            <v>59</v>
          </cell>
          <cell r="F6">
            <v>193</v>
          </cell>
          <cell r="G6">
            <v>8.4745762711864403E-2</v>
          </cell>
          <cell r="H6">
            <v>2.5906735751295335E-2</v>
          </cell>
        </row>
        <row r="7">
          <cell r="A7">
            <v>44749</v>
          </cell>
          <cell r="B7">
            <v>13</v>
          </cell>
          <cell r="E7">
            <v>59</v>
          </cell>
          <cell r="F7">
            <v>193</v>
          </cell>
          <cell r="G7">
            <v>0.22033898305084745</v>
          </cell>
          <cell r="H7">
            <v>6.7357512953367879E-2</v>
          </cell>
        </row>
        <row r="8">
          <cell r="A8">
            <v>44750</v>
          </cell>
          <cell r="B8">
            <v>22</v>
          </cell>
          <cell r="E8">
            <v>59</v>
          </cell>
          <cell r="F8">
            <v>193</v>
          </cell>
          <cell r="G8">
            <v>0.3728813559322034</v>
          </cell>
          <cell r="H8">
            <v>0.11398963730569948</v>
          </cell>
        </row>
        <row r="9">
          <cell r="A9">
            <v>44751</v>
          </cell>
          <cell r="B9">
            <v>22</v>
          </cell>
          <cell r="E9">
            <v>59</v>
          </cell>
          <cell r="F9">
            <v>193</v>
          </cell>
          <cell r="G9">
            <v>0.3728813559322034</v>
          </cell>
          <cell r="H9">
            <v>0.11398963730569948</v>
          </cell>
        </row>
        <row r="10">
          <cell r="A10">
            <v>44752</v>
          </cell>
          <cell r="B10">
            <v>26</v>
          </cell>
          <cell r="E10">
            <v>59</v>
          </cell>
          <cell r="F10">
            <v>193</v>
          </cell>
          <cell r="G10">
            <v>0.44067796610169491</v>
          </cell>
          <cell r="H10">
            <v>0.13471502590673576</v>
          </cell>
        </row>
        <row r="11">
          <cell r="A11">
            <v>44753</v>
          </cell>
          <cell r="B11">
            <v>23</v>
          </cell>
          <cell r="E11">
            <v>92</v>
          </cell>
          <cell r="F11">
            <v>193</v>
          </cell>
          <cell r="G11">
            <v>0.25</v>
          </cell>
          <cell r="H11">
            <v>0.11917098445595854</v>
          </cell>
        </row>
        <row r="12">
          <cell r="A12">
            <v>44754</v>
          </cell>
          <cell r="B12">
            <v>24</v>
          </cell>
          <cell r="E12">
            <v>92</v>
          </cell>
          <cell r="F12">
            <v>193</v>
          </cell>
          <cell r="G12">
            <v>0.2608695652173913</v>
          </cell>
          <cell r="H12">
            <v>0.12435233160621761</v>
          </cell>
        </row>
        <row r="13">
          <cell r="A13">
            <v>44755</v>
          </cell>
          <cell r="B13">
            <v>30</v>
          </cell>
          <cell r="E13">
            <v>92</v>
          </cell>
          <cell r="F13">
            <v>193</v>
          </cell>
          <cell r="G13">
            <v>0.32608695652173914</v>
          </cell>
          <cell r="H13">
            <v>0.15544041450777202</v>
          </cell>
        </row>
        <row r="14">
          <cell r="A14">
            <v>44756</v>
          </cell>
          <cell r="B14">
            <v>32</v>
          </cell>
          <cell r="E14">
            <v>92</v>
          </cell>
          <cell r="F14">
            <v>193</v>
          </cell>
          <cell r="G14">
            <v>0.34782608695652173</v>
          </cell>
          <cell r="H14">
            <v>0.16580310880829016</v>
          </cell>
        </row>
        <row r="15">
          <cell r="A15">
            <v>44757</v>
          </cell>
          <cell r="B15">
            <v>25</v>
          </cell>
          <cell r="E15">
            <v>92</v>
          </cell>
          <cell r="F15">
            <v>193</v>
          </cell>
          <cell r="G15">
            <v>0.27173913043478259</v>
          </cell>
          <cell r="H15">
            <v>0.12953367875647667</v>
          </cell>
        </row>
        <row r="16">
          <cell r="A16">
            <v>44758</v>
          </cell>
          <cell r="B16">
            <v>34</v>
          </cell>
          <cell r="E16">
            <v>92</v>
          </cell>
          <cell r="F16">
            <v>193</v>
          </cell>
          <cell r="G16">
            <v>0.36956521739130432</v>
          </cell>
          <cell r="H16">
            <v>0.17616580310880828</v>
          </cell>
        </row>
        <row r="17">
          <cell r="A17">
            <v>44759</v>
          </cell>
          <cell r="B17">
            <v>39</v>
          </cell>
          <cell r="E17">
            <v>92</v>
          </cell>
          <cell r="F17">
            <v>193</v>
          </cell>
          <cell r="G17">
            <v>0.42391304347826086</v>
          </cell>
          <cell r="H17">
            <v>0.20207253886010362</v>
          </cell>
        </row>
        <row r="18">
          <cell r="A18">
            <v>44760</v>
          </cell>
          <cell r="B18">
            <v>22</v>
          </cell>
          <cell r="E18">
            <v>133</v>
          </cell>
          <cell r="F18">
            <v>193</v>
          </cell>
          <cell r="G18">
            <v>0.16541353383458646</v>
          </cell>
          <cell r="H18">
            <v>0.11398963730569948</v>
          </cell>
        </row>
        <row r="19">
          <cell r="A19">
            <v>44761</v>
          </cell>
          <cell r="B19">
            <v>38</v>
          </cell>
          <cell r="E19">
            <v>133</v>
          </cell>
          <cell r="F19">
            <v>193</v>
          </cell>
          <cell r="G19">
            <v>0.2857142857142857</v>
          </cell>
          <cell r="H19">
            <v>0.19689119170984457</v>
          </cell>
        </row>
        <row r="20">
          <cell r="A20">
            <v>44762</v>
          </cell>
          <cell r="B20">
            <v>34</v>
          </cell>
          <cell r="E20">
            <v>133</v>
          </cell>
          <cell r="F20">
            <v>193</v>
          </cell>
          <cell r="G20">
            <v>0.25563909774436089</v>
          </cell>
          <cell r="H20">
            <v>0.17616580310880828</v>
          </cell>
        </row>
        <row r="21">
          <cell r="A21">
            <v>44763</v>
          </cell>
          <cell r="B21">
            <v>50</v>
          </cell>
          <cell r="E21">
            <v>133</v>
          </cell>
          <cell r="F21">
            <v>193</v>
          </cell>
          <cell r="G21">
            <v>0.37593984962406013</v>
          </cell>
          <cell r="H21">
            <v>0.25906735751295334</v>
          </cell>
        </row>
        <row r="22">
          <cell r="A22">
            <v>44764</v>
          </cell>
          <cell r="B22">
            <v>43</v>
          </cell>
          <cell r="E22">
            <v>133</v>
          </cell>
          <cell r="F22">
            <v>193</v>
          </cell>
          <cell r="G22">
            <v>0.32330827067669171</v>
          </cell>
          <cell r="H22">
            <v>0.22279792746113988</v>
          </cell>
        </row>
        <row r="23">
          <cell r="A23">
            <v>44765</v>
          </cell>
          <cell r="B23">
            <v>43</v>
          </cell>
          <cell r="E23">
            <v>133</v>
          </cell>
          <cell r="F23">
            <v>193</v>
          </cell>
          <cell r="G23">
            <v>0.32330827067669171</v>
          </cell>
          <cell r="H23">
            <v>0.22279792746113988</v>
          </cell>
        </row>
        <row r="24">
          <cell r="A24">
            <v>44766</v>
          </cell>
          <cell r="B24">
            <v>53</v>
          </cell>
          <cell r="E24">
            <v>133</v>
          </cell>
          <cell r="F24">
            <v>193</v>
          </cell>
          <cell r="G24">
            <v>0.39849624060150374</v>
          </cell>
          <cell r="H24">
            <v>0.27461139896373055</v>
          </cell>
        </row>
        <row r="25">
          <cell r="A25">
            <v>44767</v>
          </cell>
          <cell r="B25">
            <v>63</v>
          </cell>
          <cell r="E25">
            <v>183</v>
          </cell>
          <cell r="F25">
            <v>193</v>
          </cell>
          <cell r="G25">
            <v>0.34426229508196721</v>
          </cell>
          <cell r="H25">
            <v>0.32642487046632124</v>
          </cell>
        </row>
        <row r="26">
          <cell r="A26">
            <v>44768</v>
          </cell>
          <cell r="B26">
            <v>48</v>
          </cell>
          <cell r="E26">
            <v>183</v>
          </cell>
          <cell r="F26">
            <v>193</v>
          </cell>
          <cell r="G26">
            <v>0.26229508196721313</v>
          </cell>
          <cell r="H26">
            <v>0.24870466321243523</v>
          </cell>
        </row>
        <row r="27">
          <cell r="A27">
            <v>44769</v>
          </cell>
          <cell r="B27">
            <v>59</v>
          </cell>
          <cell r="E27">
            <v>183</v>
          </cell>
          <cell r="F27">
            <v>193</v>
          </cell>
          <cell r="G27">
            <v>0.32240437158469948</v>
          </cell>
          <cell r="H27">
            <v>0.30569948186528495</v>
          </cell>
        </row>
        <row r="28">
          <cell r="A28">
            <v>44770</v>
          </cell>
          <cell r="B28">
            <v>59</v>
          </cell>
          <cell r="E28">
            <v>183</v>
          </cell>
          <cell r="F28">
            <v>193</v>
          </cell>
          <cell r="G28">
            <v>0.32240437158469948</v>
          </cell>
          <cell r="H28">
            <v>0.30569948186528495</v>
          </cell>
        </row>
        <row r="29">
          <cell r="A29">
            <v>44771</v>
          </cell>
          <cell r="B29">
            <v>61</v>
          </cell>
          <cell r="E29">
            <v>183</v>
          </cell>
          <cell r="F29">
            <v>193</v>
          </cell>
          <cell r="G29">
            <v>0.33333333333333331</v>
          </cell>
          <cell r="H29">
            <v>0.31606217616580312</v>
          </cell>
        </row>
        <row r="30">
          <cell r="A30">
            <v>44772</v>
          </cell>
          <cell r="B30">
            <v>64</v>
          </cell>
          <cell r="E30">
            <v>183</v>
          </cell>
          <cell r="F30">
            <v>193</v>
          </cell>
          <cell r="G30">
            <v>0.34972677595628415</v>
          </cell>
          <cell r="H30">
            <v>0.33160621761658032</v>
          </cell>
        </row>
        <row r="31">
          <cell r="A31">
            <v>44773</v>
          </cell>
          <cell r="B31">
            <v>64</v>
          </cell>
          <cell r="E31">
            <v>183</v>
          </cell>
          <cell r="F31">
            <v>193</v>
          </cell>
          <cell r="G31">
            <v>0.34972677595628415</v>
          </cell>
          <cell r="H31">
            <v>0.33160621761658032</v>
          </cell>
        </row>
        <row r="32">
          <cell r="A32">
            <v>44774</v>
          </cell>
          <cell r="B32">
            <v>52</v>
          </cell>
          <cell r="E32">
            <v>202</v>
          </cell>
          <cell r="F32">
            <v>366</v>
          </cell>
          <cell r="G32">
            <v>0.25742574257425743</v>
          </cell>
          <cell r="H32">
            <v>0.14207650273224043</v>
          </cell>
        </row>
        <row r="33">
          <cell r="A33">
            <v>44775</v>
          </cell>
          <cell r="B33">
            <v>62</v>
          </cell>
          <cell r="E33">
            <v>202</v>
          </cell>
          <cell r="F33">
            <v>366</v>
          </cell>
          <cell r="G33">
            <v>0.30693069306930693</v>
          </cell>
          <cell r="H33">
            <v>0.16939890710382513</v>
          </cell>
        </row>
        <row r="34">
          <cell r="A34">
            <v>44776</v>
          </cell>
          <cell r="B34">
            <v>55</v>
          </cell>
          <cell r="E34">
            <v>202</v>
          </cell>
          <cell r="F34">
            <v>366</v>
          </cell>
          <cell r="G34">
            <v>0.2722772277227723</v>
          </cell>
          <cell r="H34">
            <v>0.15027322404371585</v>
          </cell>
        </row>
        <row r="35">
          <cell r="A35">
            <v>44777</v>
          </cell>
          <cell r="B35">
            <v>60</v>
          </cell>
          <cell r="E35">
            <v>202</v>
          </cell>
          <cell r="F35">
            <v>366</v>
          </cell>
          <cell r="G35">
            <v>0.29702970297029702</v>
          </cell>
          <cell r="H35">
            <v>0.16393442622950818</v>
          </cell>
        </row>
        <row r="36">
          <cell r="A36">
            <v>44778</v>
          </cell>
          <cell r="B36">
            <v>52</v>
          </cell>
          <cell r="E36">
            <v>202</v>
          </cell>
          <cell r="F36">
            <v>366</v>
          </cell>
          <cell r="G36">
            <v>0.25742574257425743</v>
          </cell>
          <cell r="H36">
            <v>0.14207650273224043</v>
          </cell>
        </row>
        <row r="37">
          <cell r="A37">
            <v>44779</v>
          </cell>
          <cell r="B37">
            <v>62</v>
          </cell>
          <cell r="E37">
            <v>202</v>
          </cell>
          <cell r="F37">
            <v>366</v>
          </cell>
          <cell r="G37">
            <v>0.30693069306930693</v>
          </cell>
          <cell r="H37">
            <v>0.16939890710382513</v>
          </cell>
        </row>
        <row r="38">
          <cell r="A38">
            <v>44780</v>
          </cell>
          <cell r="B38">
            <v>59</v>
          </cell>
          <cell r="E38">
            <v>202</v>
          </cell>
          <cell r="F38">
            <v>366</v>
          </cell>
          <cell r="G38">
            <v>0.29207920792079206</v>
          </cell>
          <cell r="H38">
            <v>0.16120218579234974</v>
          </cell>
        </row>
        <row r="39">
          <cell r="A39">
            <v>44781</v>
          </cell>
          <cell r="B39">
            <v>58</v>
          </cell>
          <cell r="E39">
            <v>193</v>
          </cell>
          <cell r="F39">
            <v>366</v>
          </cell>
          <cell r="G39">
            <v>0.30051813471502592</v>
          </cell>
          <cell r="H39">
            <v>0.15846994535519127</v>
          </cell>
        </row>
        <row r="40">
          <cell r="A40">
            <v>44782</v>
          </cell>
          <cell r="B40">
            <v>53</v>
          </cell>
          <cell r="E40">
            <v>193</v>
          </cell>
          <cell r="F40">
            <v>366</v>
          </cell>
          <cell r="G40">
            <v>0.27461139896373055</v>
          </cell>
          <cell r="H40">
            <v>0.1448087431693989</v>
          </cell>
        </row>
        <row r="41">
          <cell r="A41">
            <v>44783</v>
          </cell>
          <cell r="B41">
            <v>55</v>
          </cell>
          <cell r="E41">
            <v>193</v>
          </cell>
          <cell r="F41">
            <v>366</v>
          </cell>
          <cell r="G41">
            <v>0.28497409326424872</v>
          </cell>
          <cell r="H41">
            <v>0.15027322404371585</v>
          </cell>
        </row>
        <row r="42">
          <cell r="A42">
            <v>44784</v>
          </cell>
          <cell r="B42">
            <v>65</v>
          </cell>
          <cell r="E42">
            <v>193</v>
          </cell>
          <cell r="F42">
            <v>366</v>
          </cell>
          <cell r="G42">
            <v>0.33678756476683935</v>
          </cell>
          <cell r="H42">
            <v>0.17759562841530055</v>
          </cell>
        </row>
        <row r="43">
          <cell r="A43">
            <v>44785</v>
          </cell>
          <cell r="B43">
            <v>54</v>
          </cell>
          <cell r="E43">
            <v>193</v>
          </cell>
          <cell r="F43">
            <v>366</v>
          </cell>
          <cell r="G43">
            <v>0.27979274611398963</v>
          </cell>
          <cell r="H43">
            <v>0.14754098360655737</v>
          </cell>
        </row>
        <row r="44">
          <cell r="A44">
            <v>44786</v>
          </cell>
          <cell r="B44">
            <v>74</v>
          </cell>
          <cell r="E44">
            <v>193</v>
          </cell>
          <cell r="F44">
            <v>366</v>
          </cell>
          <cell r="G44">
            <v>0.38341968911917096</v>
          </cell>
          <cell r="H44">
            <v>0.20218579234972678</v>
          </cell>
        </row>
        <row r="45">
          <cell r="A45">
            <v>44787</v>
          </cell>
          <cell r="B45">
            <v>59</v>
          </cell>
          <cell r="E45">
            <v>193</v>
          </cell>
          <cell r="F45">
            <v>366</v>
          </cell>
          <cell r="G45">
            <v>0.30569948186528495</v>
          </cell>
          <cell r="H45">
            <v>0.16120218579234974</v>
          </cell>
        </row>
        <row r="46">
          <cell r="A46">
            <v>44788</v>
          </cell>
          <cell r="B46">
            <v>54</v>
          </cell>
          <cell r="E46">
            <v>201</v>
          </cell>
          <cell r="F46">
            <v>366</v>
          </cell>
          <cell r="G46">
            <v>0.26865671641791045</v>
          </cell>
          <cell r="H46">
            <v>0.14754098360655737</v>
          </cell>
        </row>
        <row r="47">
          <cell r="A47">
            <v>44789</v>
          </cell>
          <cell r="B47">
            <v>68</v>
          </cell>
          <cell r="E47">
            <v>201</v>
          </cell>
          <cell r="F47">
            <v>366</v>
          </cell>
          <cell r="G47">
            <v>0.3383084577114428</v>
          </cell>
          <cell r="H47">
            <v>0.18579234972677597</v>
          </cell>
        </row>
        <row r="48">
          <cell r="A48">
            <v>44790</v>
          </cell>
          <cell r="B48">
            <v>59</v>
          </cell>
          <cell r="E48">
            <v>201</v>
          </cell>
          <cell r="F48">
            <v>366</v>
          </cell>
          <cell r="G48">
            <v>0.29353233830845771</v>
          </cell>
          <cell r="H48">
            <v>0.16120218579234974</v>
          </cell>
        </row>
        <row r="49">
          <cell r="A49">
            <v>44791</v>
          </cell>
          <cell r="B49">
            <v>61</v>
          </cell>
          <cell r="E49">
            <v>201</v>
          </cell>
          <cell r="F49">
            <v>366</v>
          </cell>
          <cell r="G49">
            <v>0.30348258706467662</v>
          </cell>
          <cell r="H49">
            <v>0.16666666666666666</v>
          </cell>
        </row>
        <row r="50">
          <cell r="A50">
            <v>44792</v>
          </cell>
          <cell r="B50">
            <v>58</v>
          </cell>
          <cell r="E50">
            <v>201</v>
          </cell>
          <cell r="F50">
            <v>366</v>
          </cell>
          <cell r="G50">
            <v>0.28855721393034828</v>
          </cell>
          <cell r="H50">
            <v>0.15846994535519127</v>
          </cell>
        </row>
        <row r="51">
          <cell r="A51">
            <v>44793</v>
          </cell>
          <cell r="B51">
            <v>67</v>
          </cell>
          <cell r="E51">
            <v>201</v>
          </cell>
          <cell r="F51">
            <v>366</v>
          </cell>
          <cell r="G51">
            <v>0.33333333333333331</v>
          </cell>
          <cell r="H51">
            <v>0.1830601092896175</v>
          </cell>
        </row>
        <row r="52">
          <cell r="A52">
            <v>44794</v>
          </cell>
          <cell r="B52">
            <v>62</v>
          </cell>
          <cell r="E52">
            <v>201</v>
          </cell>
          <cell r="F52">
            <v>366</v>
          </cell>
          <cell r="G52">
            <v>0.30845771144278605</v>
          </cell>
          <cell r="H52">
            <v>0.16939890710382513</v>
          </cell>
        </row>
        <row r="53">
          <cell r="A53">
            <v>44795</v>
          </cell>
          <cell r="B53">
            <v>53</v>
          </cell>
          <cell r="E53">
            <v>206</v>
          </cell>
          <cell r="F53">
            <v>366</v>
          </cell>
          <cell r="G53">
            <v>0.25728155339805825</v>
          </cell>
          <cell r="H53">
            <v>0.1448087431693989</v>
          </cell>
        </row>
        <row r="54">
          <cell r="A54">
            <v>44796</v>
          </cell>
          <cell r="B54">
            <v>60</v>
          </cell>
          <cell r="E54">
            <v>206</v>
          </cell>
          <cell r="F54">
            <v>366</v>
          </cell>
          <cell r="G54">
            <v>0.29126213592233008</v>
          </cell>
          <cell r="H54">
            <v>0.16393442622950818</v>
          </cell>
        </row>
        <row r="55">
          <cell r="A55">
            <v>44797</v>
          </cell>
          <cell r="B55">
            <v>67</v>
          </cell>
          <cell r="E55">
            <v>206</v>
          </cell>
          <cell r="F55">
            <v>366</v>
          </cell>
          <cell r="G55">
            <v>0.32524271844660196</v>
          </cell>
          <cell r="H55">
            <v>0.1830601092896175</v>
          </cell>
        </row>
        <row r="56">
          <cell r="A56">
            <v>44798</v>
          </cell>
          <cell r="B56">
            <v>67</v>
          </cell>
          <cell r="E56">
            <v>206</v>
          </cell>
          <cell r="F56">
            <v>366</v>
          </cell>
          <cell r="G56">
            <v>0.32524271844660196</v>
          </cell>
          <cell r="H56">
            <v>0.1830601092896175</v>
          </cell>
        </row>
        <row r="57">
          <cell r="A57">
            <v>44799</v>
          </cell>
          <cell r="B57">
            <v>61</v>
          </cell>
          <cell r="E57">
            <v>206</v>
          </cell>
          <cell r="F57">
            <v>366</v>
          </cell>
          <cell r="G57">
            <v>0.29611650485436891</v>
          </cell>
          <cell r="H57">
            <v>0.16666666666666666</v>
          </cell>
        </row>
        <row r="58">
          <cell r="A58">
            <v>44800</v>
          </cell>
          <cell r="B58">
            <v>63</v>
          </cell>
          <cell r="E58">
            <v>206</v>
          </cell>
          <cell r="F58">
            <v>366</v>
          </cell>
          <cell r="G58">
            <v>0.30582524271844658</v>
          </cell>
          <cell r="H58">
            <v>0.1721311475409836</v>
          </cell>
        </row>
        <row r="59">
          <cell r="A59">
            <v>44801</v>
          </cell>
          <cell r="B59">
            <v>61</v>
          </cell>
          <cell r="E59">
            <v>206</v>
          </cell>
          <cell r="F59">
            <v>366</v>
          </cell>
          <cell r="G59">
            <v>0.29611650485436891</v>
          </cell>
          <cell r="H59">
            <v>0.16666666666666666</v>
          </cell>
        </row>
        <row r="60">
          <cell r="A60">
            <v>44802</v>
          </cell>
          <cell r="B60">
            <v>54</v>
          </cell>
          <cell r="E60">
            <v>192</v>
          </cell>
          <cell r="F60">
            <v>366</v>
          </cell>
          <cell r="G60">
            <v>0.28125</v>
          </cell>
          <cell r="H60">
            <v>0.14754098360655737</v>
          </cell>
        </row>
        <row r="61">
          <cell r="A61">
            <v>44803</v>
          </cell>
          <cell r="B61">
            <v>72</v>
          </cell>
          <cell r="E61">
            <v>192</v>
          </cell>
          <cell r="F61">
            <v>366</v>
          </cell>
          <cell r="G61">
            <v>0.375</v>
          </cell>
          <cell r="H61">
            <v>0.19672131147540983</v>
          </cell>
        </row>
        <row r="62">
          <cell r="A62">
            <v>44804</v>
          </cell>
          <cell r="B62">
            <v>54</v>
          </cell>
          <cell r="E62">
            <v>192</v>
          </cell>
          <cell r="F62">
            <v>366</v>
          </cell>
          <cell r="G62">
            <v>0.28125</v>
          </cell>
          <cell r="H62">
            <v>0.14754098360655737</v>
          </cell>
        </row>
        <row r="63">
          <cell r="A63">
            <v>44805</v>
          </cell>
          <cell r="B63">
            <v>66</v>
          </cell>
          <cell r="E63">
            <v>192</v>
          </cell>
          <cell r="F63">
            <v>378</v>
          </cell>
          <cell r="G63">
            <v>0.34375</v>
          </cell>
          <cell r="H63">
            <v>0.17460317460317459</v>
          </cell>
        </row>
        <row r="64">
          <cell r="A64">
            <v>44806</v>
          </cell>
          <cell r="B64">
            <v>61</v>
          </cell>
          <cell r="E64">
            <v>192</v>
          </cell>
          <cell r="F64">
            <v>378</v>
          </cell>
          <cell r="G64">
            <v>0.31770833333333331</v>
          </cell>
          <cell r="H64">
            <v>0.16137566137566137</v>
          </cell>
        </row>
        <row r="65">
          <cell r="A65">
            <v>44807</v>
          </cell>
          <cell r="B65">
            <v>58</v>
          </cell>
          <cell r="E65">
            <v>192</v>
          </cell>
          <cell r="F65">
            <v>378</v>
          </cell>
          <cell r="G65">
            <v>0.30208333333333331</v>
          </cell>
          <cell r="H65">
            <v>0.15343915343915343</v>
          </cell>
        </row>
        <row r="66">
          <cell r="A66">
            <v>44808</v>
          </cell>
          <cell r="B66">
            <v>64</v>
          </cell>
          <cell r="E66">
            <v>192</v>
          </cell>
          <cell r="F66">
            <v>378</v>
          </cell>
          <cell r="G66">
            <v>0.33333333333333331</v>
          </cell>
          <cell r="H66">
            <v>0.1693121693121693</v>
          </cell>
        </row>
        <row r="67">
          <cell r="A67">
            <v>44809</v>
          </cell>
          <cell r="B67">
            <v>62</v>
          </cell>
          <cell r="E67">
            <v>196</v>
          </cell>
          <cell r="F67">
            <v>378</v>
          </cell>
          <cell r="G67">
            <v>0.31632653061224492</v>
          </cell>
          <cell r="H67">
            <v>0.16402116402116401</v>
          </cell>
        </row>
        <row r="68">
          <cell r="A68">
            <v>44810</v>
          </cell>
          <cell r="B68">
            <v>46</v>
          </cell>
          <cell r="E68">
            <v>196</v>
          </cell>
          <cell r="F68">
            <v>378</v>
          </cell>
          <cell r="G68">
            <v>0.23469387755102042</v>
          </cell>
          <cell r="H68">
            <v>0.12169312169312169</v>
          </cell>
        </row>
        <row r="69">
          <cell r="A69">
            <v>44811</v>
          </cell>
          <cell r="B69">
            <v>49</v>
          </cell>
          <cell r="E69">
            <v>196</v>
          </cell>
          <cell r="F69">
            <v>378</v>
          </cell>
          <cell r="G69">
            <v>0.25</v>
          </cell>
          <cell r="H69">
            <v>0.12962962962962962</v>
          </cell>
        </row>
        <row r="70">
          <cell r="A70">
            <v>44812</v>
          </cell>
          <cell r="B70">
            <v>59</v>
          </cell>
          <cell r="E70">
            <v>196</v>
          </cell>
          <cell r="F70">
            <v>378</v>
          </cell>
          <cell r="G70">
            <v>0.30102040816326531</v>
          </cell>
          <cell r="H70">
            <v>0.15608465608465608</v>
          </cell>
        </row>
        <row r="71">
          <cell r="A71">
            <v>44813</v>
          </cell>
          <cell r="B71">
            <v>60</v>
          </cell>
          <cell r="E71">
            <v>196</v>
          </cell>
          <cell r="F71">
            <v>378</v>
          </cell>
          <cell r="G71">
            <v>0.30612244897959184</v>
          </cell>
          <cell r="H71">
            <v>0.15873015873015872</v>
          </cell>
        </row>
        <row r="72">
          <cell r="A72">
            <v>44814</v>
          </cell>
          <cell r="B72">
            <v>53</v>
          </cell>
          <cell r="E72">
            <v>196</v>
          </cell>
          <cell r="F72">
            <v>378</v>
          </cell>
          <cell r="G72">
            <v>0.27040816326530615</v>
          </cell>
          <cell r="H72">
            <v>0.1402116402116402</v>
          </cell>
        </row>
        <row r="73">
          <cell r="A73">
            <v>44815</v>
          </cell>
          <cell r="B73">
            <v>61</v>
          </cell>
          <cell r="E73">
            <v>196</v>
          </cell>
          <cell r="F73">
            <v>378</v>
          </cell>
          <cell r="G73">
            <v>0.31122448979591838</v>
          </cell>
          <cell r="H73">
            <v>0.16137566137566137</v>
          </cell>
        </row>
        <row r="74">
          <cell r="A74">
            <v>44816</v>
          </cell>
          <cell r="B74">
            <v>58</v>
          </cell>
          <cell r="E74">
            <v>205</v>
          </cell>
          <cell r="F74">
            <v>378</v>
          </cell>
          <cell r="G74">
            <v>0.28292682926829266</v>
          </cell>
          <cell r="H74">
            <v>0.15343915343915343</v>
          </cell>
        </row>
        <row r="75">
          <cell r="A75">
            <v>44817</v>
          </cell>
          <cell r="B75">
            <v>64</v>
          </cell>
          <cell r="E75">
            <v>205</v>
          </cell>
          <cell r="F75">
            <v>378</v>
          </cell>
          <cell r="G75">
            <v>0.31219512195121951</v>
          </cell>
          <cell r="H75">
            <v>0.1693121693121693</v>
          </cell>
        </row>
        <row r="76">
          <cell r="A76">
            <v>44818</v>
          </cell>
          <cell r="B76">
            <v>65</v>
          </cell>
          <cell r="E76">
            <v>205</v>
          </cell>
          <cell r="F76">
            <v>378</v>
          </cell>
          <cell r="G76">
            <v>0.31707317073170732</v>
          </cell>
          <cell r="H76">
            <v>0.17195767195767195</v>
          </cell>
        </row>
        <row r="77">
          <cell r="A77">
            <v>44819</v>
          </cell>
          <cell r="B77">
            <v>74</v>
          </cell>
          <cell r="E77">
            <v>205</v>
          </cell>
          <cell r="F77">
            <v>378</v>
          </cell>
          <cell r="G77">
            <v>0.36097560975609755</v>
          </cell>
          <cell r="H77">
            <v>0.19576719576719576</v>
          </cell>
        </row>
        <row r="78">
          <cell r="A78">
            <v>44820</v>
          </cell>
          <cell r="B78">
            <v>58</v>
          </cell>
          <cell r="E78">
            <v>205</v>
          </cell>
          <cell r="F78">
            <v>378</v>
          </cell>
          <cell r="G78">
            <v>0.28292682926829266</v>
          </cell>
          <cell r="H78">
            <v>0.15343915343915343</v>
          </cell>
        </row>
        <row r="79">
          <cell r="A79">
            <v>44821</v>
          </cell>
          <cell r="B79">
            <v>62</v>
          </cell>
          <cell r="E79">
            <v>205</v>
          </cell>
          <cell r="F79">
            <v>378</v>
          </cell>
          <cell r="G79">
            <v>0.30243902439024389</v>
          </cell>
          <cell r="H79">
            <v>0.16402116402116401</v>
          </cell>
        </row>
        <row r="80">
          <cell r="A80">
            <v>44822</v>
          </cell>
          <cell r="B80">
            <v>69</v>
          </cell>
          <cell r="E80">
            <v>205</v>
          </cell>
          <cell r="F80">
            <v>378</v>
          </cell>
          <cell r="G80">
            <v>0.33658536585365856</v>
          </cell>
          <cell r="H80">
            <v>0.18253968253968253</v>
          </cell>
        </row>
        <row r="81">
          <cell r="A81">
            <v>44823</v>
          </cell>
          <cell r="B81">
            <v>66</v>
          </cell>
          <cell r="E81">
            <v>213</v>
          </cell>
          <cell r="F81">
            <v>378</v>
          </cell>
          <cell r="G81">
            <v>0.30985915492957744</v>
          </cell>
          <cell r="H81">
            <v>0.17460317460317459</v>
          </cell>
        </row>
        <row r="82">
          <cell r="A82">
            <v>44824</v>
          </cell>
          <cell r="B82">
            <v>67</v>
          </cell>
          <cell r="E82">
            <v>213</v>
          </cell>
          <cell r="F82">
            <v>378</v>
          </cell>
          <cell r="G82">
            <v>0.31455399061032863</v>
          </cell>
          <cell r="H82">
            <v>0.17724867724867724</v>
          </cell>
        </row>
        <row r="83">
          <cell r="A83">
            <v>44825</v>
          </cell>
          <cell r="B83">
            <v>71</v>
          </cell>
          <cell r="E83">
            <v>213</v>
          </cell>
          <cell r="F83">
            <v>378</v>
          </cell>
          <cell r="G83">
            <v>0.33333333333333331</v>
          </cell>
          <cell r="H83">
            <v>0.18783068783068782</v>
          </cell>
        </row>
        <row r="84">
          <cell r="A84">
            <v>44826</v>
          </cell>
          <cell r="B84">
            <v>67</v>
          </cell>
          <cell r="E84">
            <v>213</v>
          </cell>
          <cell r="F84">
            <v>378</v>
          </cell>
          <cell r="G84">
            <v>0.31455399061032863</v>
          </cell>
          <cell r="H84">
            <v>0.17724867724867724</v>
          </cell>
        </row>
        <row r="85">
          <cell r="A85">
            <v>44827</v>
          </cell>
          <cell r="B85">
            <v>55</v>
          </cell>
          <cell r="E85">
            <v>213</v>
          </cell>
          <cell r="F85">
            <v>378</v>
          </cell>
          <cell r="G85">
            <v>0.25821596244131456</v>
          </cell>
          <cell r="H85">
            <v>0.14550264550264549</v>
          </cell>
        </row>
        <row r="86">
          <cell r="A86">
            <v>44828</v>
          </cell>
          <cell r="B86">
            <v>58</v>
          </cell>
          <cell r="E86">
            <v>213</v>
          </cell>
          <cell r="F86">
            <v>378</v>
          </cell>
          <cell r="G86">
            <v>0.27230046948356806</v>
          </cell>
          <cell r="H86">
            <v>0.15343915343915343</v>
          </cell>
        </row>
        <row r="87">
          <cell r="A87">
            <v>44829</v>
          </cell>
          <cell r="B87">
            <v>73</v>
          </cell>
          <cell r="E87">
            <v>213</v>
          </cell>
          <cell r="F87">
            <v>378</v>
          </cell>
          <cell r="G87">
            <v>0.34272300469483569</v>
          </cell>
          <cell r="H87">
            <v>0.19312169312169311</v>
          </cell>
        </row>
        <row r="88">
          <cell r="A88">
            <v>44830</v>
          </cell>
          <cell r="B88">
            <v>58</v>
          </cell>
          <cell r="E88">
            <v>208</v>
          </cell>
          <cell r="F88">
            <v>378</v>
          </cell>
          <cell r="G88">
            <v>0.27884615384615385</v>
          </cell>
          <cell r="H88">
            <v>0.15343915343915343</v>
          </cell>
        </row>
        <row r="89">
          <cell r="A89">
            <v>44831</v>
          </cell>
          <cell r="B89">
            <v>76</v>
          </cell>
          <cell r="E89">
            <v>208</v>
          </cell>
          <cell r="F89">
            <v>378</v>
          </cell>
          <cell r="G89">
            <v>0.36538461538461536</v>
          </cell>
          <cell r="H89">
            <v>0.20105820105820105</v>
          </cell>
        </row>
        <row r="90">
          <cell r="A90">
            <v>44832</v>
          </cell>
          <cell r="B90">
            <v>62</v>
          </cell>
          <cell r="E90">
            <v>208</v>
          </cell>
          <cell r="F90">
            <v>378</v>
          </cell>
          <cell r="G90">
            <v>0.29807692307692307</v>
          </cell>
          <cell r="H90">
            <v>0.16402116402116401</v>
          </cell>
        </row>
        <row r="91">
          <cell r="A91">
            <v>44833</v>
          </cell>
          <cell r="B91">
            <v>66</v>
          </cell>
          <cell r="E91">
            <v>208</v>
          </cell>
          <cell r="F91">
            <v>378</v>
          </cell>
          <cell r="G91">
            <v>0.31730769230769229</v>
          </cell>
          <cell r="H91">
            <v>0.17460317460317459</v>
          </cell>
        </row>
        <row r="92">
          <cell r="A92">
            <v>44834</v>
          </cell>
          <cell r="B92">
            <v>59</v>
          </cell>
          <cell r="E92">
            <v>208</v>
          </cell>
          <cell r="F92">
            <v>378</v>
          </cell>
          <cell r="G92">
            <v>0.28365384615384615</v>
          </cell>
          <cell r="H92">
            <v>0.15608465608465608</v>
          </cell>
        </row>
        <row r="93">
          <cell r="A93">
            <v>44835</v>
          </cell>
          <cell r="B93">
            <v>61</v>
          </cell>
          <cell r="E93">
            <v>208</v>
          </cell>
          <cell r="F93">
            <v>393</v>
          </cell>
          <cell r="G93">
            <v>0.29326923076923078</v>
          </cell>
          <cell r="H93">
            <v>0.15521628498727735</v>
          </cell>
        </row>
        <row r="94">
          <cell r="A94">
            <v>44836</v>
          </cell>
          <cell r="B94">
            <v>52</v>
          </cell>
          <cell r="E94">
            <v>208</v>
          </cell>
          <cell r="F94">
            <v>393</v>
          </cell>
          <cell r="G94">
            <v>0.25</v>
          </cell>
          <cell r="H94">
            <v>0.13231552162849872</v>
          </cell>
        </row>
        <row r="95">
          <cell r="A95">
            <v>44837</v>
          </cell>
          <cell r="B95">
            <v>69</v>
          </cell>
          <cell r="E95">
            <v>207</v>
          </cell>
          <cell r="F95">
            <v>393</v>
          </cell>
          <cell r="G95">
            <v>0.33333333333333331</v>
          </cell>
          <cell r="H95">
            <v>0.17557251908396945</v>
          </cell>
        </row>
        <row r="96">
          <cell r="A96">
            <v>44838</v>
          </cell>
          <cell r="B96">
            <v>70</v>
          </cell>
          <cell r="E96">
            <v>207</v>
          </cell>
          <cell r="F96">
            <v>393</v>
          </cell>
          <cell r="G96">
            <v>0.33816425120772947</v>
          </cell>
          <cell r="H96">
            <v>0.17811704834605599</v>
          </cell>
        </row>
        <row r="97">
          <cell r="A97">
            <v>44839</v>
          </cell>
          <cell r="B97">
            <v>45</v>
          </cell>
          <cell r="E97">
            <v>207</v>
          </cell>
          <cell r="F97">
            <v>393</v>
          </cell>
          <cell r="G97">
            <v>0.21739130434782608</v>
          </cell>
          <cell r="H97">
            <v>0.11450381679389313</v>
          </cell>
        </row>
        <row r="98">
          <cell r="A98">
            <v>44840</v>
          </cell>
          <cell r="B98">
            <v>77</v>
          </cell>
          <cell r="E98">
            <v>207</v>
          </cell>
          <cell r="F98">
            <v>393</v>
          </cell>
          <cell r="G98">
            <v>0.3719806763285024</v>
          </cell>
          <cell r="H98">
            <v>0.19592875318066158</v>
          </cell>
        </row>
        <row r="99">
          <cell r="A99">
            <v>44841</v>
          </cell>
          <cell r="B99">
            <v>61</v>
          </cell>
          <cell r="E99">
            <v>207</v>
          </cell>
          <cell r="F99">
            <v>393</v>
          </cell>
          <cell r="G99">
            <v>0.29468599033816423</v>
          </cell>
          <cell r="H99">
            <v>0.15521628498727735</v>
          </cell>
        </row>
        <row r="100">
          <cell r="A100">
            <v>44842</v>
          </cell>
          <cell r="B100">
            <v>56</v>
          </cell>
          <cell r="E100">
            <v>207</v>
          </cell>
          <cell r="F100">
            <v>393</v>
          </cell>
          <cell r="G100">
            <v>0.27053140096618356</v>
          </cell>
          <cell r="H100">
            <v>0.14249363867684478</v>
          </cell>
        </row>
        <row r="101">
          <cell r="A101">
            <v>44843</v>
          </cell>
          <cell r="B101">
            <v>66</v>
          </cell>
          <cell r="E101">
            <v>207</v>
          </cell>
          <cell r="F101">
            <v>393</v>
          </cell>
          <cell r="G101">
            <v>0.3188405797101449</v>
          </cell>
          <cell r="H101">
            <v>0.16793893129770993</v>
          </cell>
        </row>
        <row r="102">
          <cell r="A102">
            <v>44844</v>
          </cell>
          <cell r="B102">
            <v>51</v>
          </cell>
          <cell r="E102">
            <v>204</v>
          </cell>
          <cell r="F102">
            <v>393</v>
          </cell>
          <cell r="G102">
            <v>0.25</v>
          </cell>
          <cell r="H102">
            <v>0.12977099236641221</v>
          </cell>
        </row>
        <row r="103">
          <cell r="A103">
            <v>44845</v>
          </cell>
          <cell r="B103">
            <v>59</v>
          </cell>
          <cell r="E103">
            <v>204</v>
          </cell>
          <cell r="F103">
            <v>393</v>
          </cell>
          <cell r="G103">
            <v>0.28921568627450983</v>
          </cell>
          <cell r="H103">
            <v>0.15012722646310434</v>
          </cell>
        </row>
        <row r="104">
          <cell r="A104">
            <v>44846</v>
          </cell>
          <cell r="B104">
            <v>65</v>
          </cell>
          <cell r="E104">
            <v>204</v>
          </cell>
          <cell r="F104">
            <v>393</v>
          </cell>
          <cell r="G104">
            <v>0.31862745098039214</v>
          </cell>
          <cell r="H104">
            <v>0.16539440203562342</v>
          </cell>
        </row>
        <row r="105">
          <cell r="A105">
            <v>44847</v>
          </cell>
          <cell r="B105">
            <v>53</v>
          </cell>
          <cell r="E105">
            <v>204</v>
          </cell>
          <cell r="F105">
            <v>393</v>
          </cell>
          <cell r="G105">
            <v>0.25980392156862747</v>
          </cell>
          <cell r="H105">
            <v>0.13486005089058525</v>
          </cell>
        </row>
        <row r="106">
          <cell r="A106">
            <v>44848</v>
          </cell>
          <cell r="B106">
            <v>72</v>
          </cell>
          <cell r="E106">
            <v>204</v>
          </cell>
          <cell r="F106">
            <v>393</v>
          </cell>
          <cell r="G106">
            <v>0.35294117647058826</v>
          </cell>
          <cell r="H106">
            <v>0.18320610687022901</v>
          </cell>
        </row>
        <row r="107">
          <cell r="A107">
            <v>44849</v>
          </cell>
          <cell r="B107">
            <v>62</v>
          </cell>
          <cell r="E107">
            <v>204</v>
          </cell>
          <cell r="F107">
            <v>393</v>
          </cell>
          <cell r="G107">
            <v>0.30392156862745096</v>
          </cell>
          <cell r="H107">
            <v>0.15776081424936386</v>
          </cell>
        </row>
        <row r="108">
          <cell r="A108">
            <v>44850</v>
          </cell>
          <cell r="B108">
            <v>62</v>
          </cell>
          <cell r="E108">
            <v>204</v>
          </cell>
          <cell r="F108">
            <v>393</v>
          </cell>
          <cell r="G108">
            <v>0.30392156862745096</v>
          </cell>
          <cell r="H108">
            <v>0.15776081424936386</v>
          </cell>
        </row>
        <row r="109">
          <cell r="A109">
            <v>44851</v>
          </cell>
          <cell r="B109">
            <v>70</v>
          </cell>
          <cell r="E109">
            <v>201</v>
          </cell>
          <cell r="F109">
            <v>393</v>
          </cell>
          <cell r="G109">
            <v>0.34825870646766172</v>
          </cell>
          <cell r="H109">
            <v>0.17811704834605599</v>
          </cell>
        </row>
        <row r="110">
          <cell r="A110">
            <v>44852</v>
          </cell>
          <cell r="B110">
            <v>62</v>
          </cell>
          <cell r="E110">
            <v>201</v>
          </cell>
          <cell r="F110">
            <v>393</v>
          </cell>
          <cell r="G110">
            <v>0.30845771144278605</v>
          </cell>
          <cell r="H110">
            <v>0.15776081424936386</v>
          </cell>
        </row>
        <row r="111">
          <cell r="A111">
            <v>44853</v>
          </cell>
          <cell r="B111">
            <v>82</v>
          </cell>
          <cell r="E111">
            <v>201</v>
          </cell>
          <cell r="F111">
            <v>393</v>
          </cell>
          <cell r="G111">
            <v>0.4079601990049751</v>
          </cell>
          <cell r="H111">
            <v>0.20865139949109415</v>
          </cell>
        </row>
        <row r="112">
          <cell r="A112">
            <v>44854</v>
          </cell>
          <cell r="B112">
            <v>52</v>
          </cell>
          <cell r="E112">
            <v>201</v>
          </cell>
          <cell r="F112">
            <v>393</v>
          </cell>
          <cell r="G112">
            <v>0.25870646766169153</v>
          </cell>
          <cell r="H112">
            <v>0.13231552162849872</v>
          </cell>
        </row>
        <row r="113">
          <cell r="A113">
            <v>44855</v>
          </cell>
          <cell r="B113">
            <v>65</v>
          </cell>
          <cell r="E113">
            <v>201</v>
          </cell>
          <cell r="F113">
            <v>393</v>
          </cell>
          <cell r="G113">
            <v>0.32338308457711445</v>
          </cell>
          <cell r="H113">
            <v>0.16539440203562342</v>
          </cell>
        </row>
        <row r="114">
          <cell r="A114">
            <v>44856</v>
          </cell>
          <cell r="B114">
            <v>64</v>
          </cell>
          <cell r="E114">
            <v>201</v>
          </cell>
          <cell r="F114">
            <v>393</v>
          </cell>
          <cell r="G114">
            <v>0.31840796019900497</v>
          </cell>
          <cell r="H114">
            <v>0.16284987277353691</v>
          </cell>
        </row>
        <row r="115">
          <cell r="A115">
            <v>44857</v>
          </cell>
          <cell r="B115">
            <v>57</v>
          </cell>
          <cell r="E115">
            <v>201</v>
          </cell>
          <cell r="F115">
            <v>393</v>
          </cell>
          <cell r="G115">
            <v>0.28358208955223879</v>
          </cell>
          <cell r="H115">
            <v>0.14503816793893129</v>
          </cell>
        </row>
        <row r="116">
          <cell r="A116">
            <v>44858</v>
          </cell>
          <cell r="B116">
            <v>58</v>
          </cell>
          <cell r="E116">
            <v>213</v>
          </cell>
          <cell r="F116">
            <v>393</v>
          </cell>
          <cell r="G116">
            <v>0.27230046948356806</v>
          </cell>
          <cell r="H116">
            <v>0.1475826972010178</v>
          </cell>
        </row>
        <row r="117">
          <cell r="A117">
            <v>44859</v>
          </cell>
          <cell r="B117">
            <v>66</v>
          </cell>
          <cell r="E117">
            <v>213</v>
          </cell>
          <cell r="F117">
            <v>393</v>
          </cell>
          <cell r="G117">
            <v>0.30985915492957744</v>
          </cell>
          <cell r="H117">
            <v>0.16793893129770993</v>
          </cell>
        </row>
        <row r="118">
          <cell r="A118">
            <v>44860</v>
          </cell>
          <cell r="B118">
            <v>60</v>
          </cell>
          <cell r="E118">
            <v>213</v>
          </cell>
          <cell r="F118">
            <v>393</v>
          </cell>
          <cell r="G118">
            <v>0.28169014084507044</v>
          </cell>
          <cell r="H118">
            <v>0.15267175572519084</v>
          </cell>
        </row>
        <row r="119">
          <cell r="A119">
            <v>44861</v>
          </cell>
          <cell r="B119">
            <v>55</v>
          </cell>
          <cell r="E119">
            <v>213</v>
          </cell>
          <cell r="F119">
            <v>393</v>
          </cell>
          <cell r="G119">
            <v>0.25821596244131456</v>
          </cell>
          <cell r="H119">
            <v>0.13994910941475827</v>
          </cell>
        </row>
        <row r="120">
          <cell r="A120">
            <v>44862</v>
          </cell>
          <cell r="B120">
            <v>65</v>
          </cell>
          <cell r="E120">
            <v>213</v>
          </cell>
          <cell r="F120">
            <v>393</v>
          </cell>
          <cell r="G120">
            <v>0.30516431924882631</v>
          </cell>
          <cell r="H120">
            <v>0.16539440203562342</v>
          </cell>
        </row>
        <row r="121">
          <cell r="A121">
            <v>44863</v>
          </cell>
          <cell r="B121">
            <v>54</v>
          </cell>
          <cell r="E121">
            <v>213</v>
          </cell>
          <cell r="F121">
            <v>393</v>
          </cell>
          <cell r="G121">
            <v>0.25352112676056338</v>
          </cell>
          <cell r="H121">
            <v>0.13740458015267176</v>
          </cell>
        </row>
        <row r="122">
          <cell r="A122">
            <v>44864</v>
          </cell>
          <cell r="B122">
            <v>66</v>
          </cell>
          <cell r="E122">
            <v>213</v>
          </cell>
          <cell r="F122">
            <v>393</v>
          </cell>
          <cell r="G122">
            <v>0.30985915492957744</v>
          </cell>
          <cell r="H122">
            <v>0.16793893129770993</v>
          </cell>
        </row>
        <row r="123">
          <cell r="A123">
            <v>44865</v>
          </cell>
          <cell r="B123">
            <v>72</v>
          </cell>
          <cell r="E123">
            <v>214</v>
          </cell>
          <cell r="F123">
            <v>393</v>
          </cell>
          <cell r="G123">
            <v>0.3364485981308411</v>
          </cell>
          <cell r="H123">
            <v>0.18320610687022901</v>
          </cell>
        </row>
        <row r="124">
          <cell r="A124">
            <v>44866</v>
          </cell>
          <cell r="B124">
            <v>58</v>
          </cell>
          <cell r="E124">
            <v>214</v>
          </cell>
          <cell r="F124">
            <v>426</v>
          </cell>
          <cell r="G124">
            <v>0.27102803738317754</v>
          </cell>
          <cell r="H124">
            <v>0.13615023474178403</v>
          </cell>
        </row>
        <row r="125">
          <cell r="A125">
            <v>44867</v>
          </cell>
          <cell r="B125">
            <v>55</v>
          </cell>
          <cell r="E125">
            <v>214</v>
          </cell>
          <cell r="F125">
            <v>426</v>
          </cell>
          <cell r="G125">
            <v>0.2570093457943925</v>
          </cell>
          <cell r="H125">
            <v>0.12910798122065728</v>
          </cell>
        </row>
        <row r="126">
          <cell r="A126">
            <v>44868</v>
          </cell>
          <cell r="B126">
            <v>56</v>
          </cell>
          <cell r="E126">
            <v>214</v>
          </cell>
          <cell r="F126">
            <v>426</v>
          </cell>
          <cell r="G126">
            <v>0.26168224299065418</v>
          </cell>
          <cell r="H126">
            <v>0.13145539906103287</v>
          </cell>
        </row>
        <row r="127">
          <cell r="A127">
            <v>44869</v>
          </cell>
          <cell r="B127">
            <v>63</v>
          </cell>
          <cell r="E127">
            <v>214</v>
          </cell>
          <cell r="F127">
            <v>426</v>
          </cell>
          <cell r="G127">
            <v>0.29439252336448596</v>
          </cell>
          <cell r="H127">
            <v>0.14788732394366197</v>
          </cell>
        </row>
        <row r="128">
          <cell r="A128">
            <v>44870</v>
          </cell>
          <cell r="B128">
            <v>69</v>
          </cell>
          <cell r="E128">
            <v>214</v>
          </cell>
          <cell r="F128">
            <v>426</v>
          </cell>
          <cell r="G128">
            <v>0.32242990654205606</v>
          </cell>
          <cell r="H128">
            <v>0.1619718309859155</v>
          </cell>
        </row>
        <row r="129">
          <cell r="A129">
            <v>44871</v>
          </cell>
          <cell r="B129">
            <v>62</v>
          </cell>
          <cell r="E129">
            <v>214</v>
          </cell>
          <cell r="F129">
            <v>426</v>
          </cell>
          <cell r="G129">
            <v>0.28971962616822428</v>
          </cell>
          <cell r="H129">
            <v>0.14553990610328638</v>
          </cell>
        </row>
        <row r="130">
          <cell r="A130">
            <v>44872</v>
          </cell>
          <cell r="B130">
            <v>60</v>
          </cell>
          <cell r="E130">
            <v>203</v>
          </cell>
          <cell r="F130">
            <v>426</v>
          </cell>
          <cell r="G130">
            <v>0.29556650246305421</v>
          </cell>
          <cell r="H130">
            <v>0.14084507042253522</v>
          </cell>
        </row>
        <row r="131">
          <cell r="A131">
            <v>44873</v>
          </cell>
          <cell r="B131">
            <v>60</v>
          </cell>
          <cell r="E131">
            <v>203</v>
          </cell>
          <cell r="F131">
            <v>426</v>
          </cell>
          <cell r="G131">
            <v>0.29556650246305421</v>
          </cell>
          <cell r="H131">
            <v>0.14084507042253522</v>
          </cell>
        </row>
        <row r="132">
          <cell r="A132">
            <v>44874</v>
          </cell>
          <cell r="B132">
            <v>60</v>
          </cell>
          <cell r="E132">
            <v>203</v>
          </cell>
          <cell r="F132">
            <v>426</v>
          </cell>
          <cell r="G132">
            <v>0.29556650246305421</v>
          </cell>
          <cell r="H132">
            <v>0.14084507042253522</v>
          </cell>
        </row>
        <row r="133">
          <cell r="A133">
            <v>44875</v>
          </cell>
          <cell r="B133">
            <v>55</v>
          </cell>
          <cell r="E133">
            <v>203</v>
          </cell>
          <cell r="F133">
            <v>426</v>
          </cell>
          <cell r="G133">
            <v>0.27093596059113301</v>
          </cell>
          <cell r="H133">
            <v>0.12910798122065728</v>
          </cell>
        </row>
        <row r="134">
          <cell r="A134">
            <v>44876</v>
          </cell>
          <cell r="B134">
            <v>62</v>
          </cell>
          <cell r="E134">
            <v>203</v>
          </cell>
          <cell r="F134">
            <v>426</v>
          </cell>
          <cell r="G134">
            <v>0.30541871921182268</v>
          </cell>
          <cell r="H134">
            <v>0.14553990610328638</v>
          </cell>
        </row>
        <row r="135">
          <cell r="A135">
            <v>44877</v>
          </cell>
          <cell r="B135">
            <v>53</v>
          </cell>
          <cell r="E135">
            <v>203</v>
          </cell>
          <cell r="F135">
            <v>426</v>
          </cell>
          <cell r="G135">
            <v>0.26108374384236455</v>
          </cell>
          <cell r="H135">
            <v>0.12441314553990611</v>
          </cell>
        </row>
        <row r="136">
          <cell r="A136">
            <v>44878</v>
          </cell>
          <cell r="B136">
            <v>54</v>
          </cell>
          <cell r="E136">
            <v>203</v>
          </cell>
          <cell r="F136">
            <v>426</v>
          </cell>
          <cell r="G136">
            <v>0.26600985221674878</v>
          </cell>
          <cell r="H136">
            <v>0.12676056338028169</v>
          </cell>
        </row>
        <row r="137">
          <cell r="A137">
            <v>44879</v>
          </cell>
          <cell r="B137">
            <v>46</v>
          </cell>
          <cell r="E137">
            <v>202</v>
          </cell>
          <cell r="F137">
            <v>426</v>
          </cell>
          <cell r="G137">
            <v>0.22772277227722773</v>
          </cell>
          <cell r="H137">
            <v>0.107981220657277</v>
          </cell>
        </row>
        <row r="138">
          <cell r="A138">
            <v>44880</v>
          </cell>
          <cell r="B138">
            <v>55</v>
          </cell>
          <cell r="E138">
            <v>202</v>
          </cell>
          <cell r="F138">
            <v>426</v>
          </cell>
          <cell r="G138">
            <v>0.2722772277227723</v>
          </cell>
          <cell r="H138">
            <v>0.12910798122065728</v>
          </cell>
        </row>
        <row r="139">
          <cell r="A139">
            <v>44881</v>
          </cell>
          <cell r="B139">
            <v>51</v>
          </cell>
          <cell r="E139">
            <v>202</v>
          </cell>
          <cell r="F139">
            <v>426</v>
          </cell>
          <cell r="G139">
            <v>0.25247524752475248</v>
          </cell>
          <cell r="H139">
            <v>0.11971830985915492</v>
          </cell>
        </row>
        <row r="140">
          <cell r="A140">
            <v>44882</v>
          </cell>
          <cell r="B140">
            <v>58</v>
          </cell>
          <cell r="E140">
            <v>202</v>
          </cell>
          <cell r="F140">
            <v>426</v>
          </cell>
          <cell r="G140">
            <v>0.28712871287128711</v>
          </cell>
          <cell r="H140">
            <v>0.13615023474178403</v>
          </cell>
        </row>
        <row r="141">
          <cell r="A141">
            <v>44883</v>
          </cell>
          <cell r="B141">
            <v>51</v>
          </cell>
          <cell r="E141">
            <v>202</v>
          </cell>
          <cell r="F141">
            <v>426</v>
          </cell>
          <cell r="G141">
            <v>0.25247524752475248</v>
          </cell>
          <cell r="H141">
            <v>0.11971830985915492</v>
          </cell>
        </row>
        <row r="142">
          <cell r="A142">
            <v>44884</v>
          </cell>
          <cell r="B142">
            <v>40</v>
          </cell>
          <cell r="E142">
            <v>202</v>
          </cell>
          <cell r="F142">
            <v>426</v>
          </cell>
          <cell r="G142">
            <v>0.19801980198019803</v>
          </cell>
          <cell r="H142">
            <v>9.3896713615023469E-2</v>
          </cell>
        </row>
        <row r="143">
          <cell r="A143">
            <v>44885</v>
          </cell>
          <cell r="B143">
            <v>50</v>
          </cell>
          <cell r="E143">
            <v>202</v>
          </cell>
          <cell r="F143">
            <v>426</v>
          </cell>
          <cell r="G143">
            <v>0.24752475247524752</v>
          </cell>
          <cell r="H143">
            <v>0.11737089201877934</v>
          </cell>
        </row>
        <row r="144">
          <cell r="A144">
            <v>44886</v>
          </cell>
          <cell r="B144">
            <v>34</v>
          </cell>
          <cell r="E144">
            <v>167</v>
          </cell>
          <cell r="F144">
            <v>426</v>
          </cell>
          <cell r="G144">
            <v>0.20359281437125748</v>
          </cell>
          <cell r="H144">
            <v>7.9812206572769953E-2</v>
          </cell>
        </row>
        <row r="145">
          <cell r="A145">
            <v>44887</v>
          </cell>
          <cell r="B145">
            <v>41</v>
          </cell>
          <cell r="E145">
            <v>167</v>
          </cell>
          <cell r="F145">
            <v>426</v>
          </cell>
          <cell r="G145">
            <v>0.24550898203592814</v>
          </cell>
          <cell r="H145">
            <v>9.6244131455399062E-2</v>
          </cell>
        </row>
        <row r="146">
          <cell r="A146">
            <v>44888</v>
          </cell>
          <cell r="B146">
            <v>39</v>
          </cell>
          <cell r="E146">
            <v>167</v>
          </cell>
          <cell r="F146">
            <v>426</v>
          </cell>
          <cell r="G146">
            <v>0.23353293413173654</v>
          </cell>
          <cell r="H146">
            <v>9.154929577464789E-2</v>
          </cell>
        </row>
        <row r="147">
          <cell r="A147">
            <v>44889</v>
          </cell>
          <cell r="B147">
            <v>32</v>
          </cell>
          <cell r="E147">
            <v>167</v>
          </cell>
          <cell r="F147">
            <v>426</v>
          </cell>
          <cell r="G147">
            <v>0.19161676646706588</v>
          </cell>
          <cell r="H147">
            <v>7.5117370892018781E-2</v>
          </cell>
        </row>
        <row r="148">
          <cell r="A148">
            <v>44890</v>
          </cell>
          <cell r="B148">
            <v>32</v>
          </cell>
          <cell r="E148">
            <v>167</v>
          </cell>
          <cell r="F148">
            <v>426</v>
          </cell>
          <cell r="G148">
            <v>0.19161676646706588</v>
          </cell>
          <cell r="H148">
            <v>7.5117370892018781E-2</v>
          </cell>
        </row>
        <row r="149">
          <cell r="A149">
            <v>44891</v>
          </cell>
          <cell r="B149">
            <v>31</v>
          </cell>
          <cell r="E149">
            <v>167</v>
          </cell>
          <cell r="F149">
            <v>426</v>
          </cell>
          <cell r="G149">
            <v>0.18562874251497005</v>
          </cell>
          <cell r="H149">
            <v>7.2769953051643188E-2</v>
          </cell>
        </row>
        <row r="150">
          <cell r="A150">
            <v>44892</v>
          </cell>
          <cell r="B150">
            <v>35</v>
          </cell>
          <cell r="E150">
            <v>167</v>
          </cell>
          <cell r="F150">
            <v>426</v>
          </cell>
          <cell r="G150">
            <v>0.20958083832335328</v>
          </cell>
          <cell r="H150">
            <v>8.2159624413145546E-2</v>
          </cell>
        </row>
        <row r="151">
          <cell r="A151">
            <v>44893</v>
          </cell>
          <cell r="B151">
            <v>32</v>
          </cell>
          <cell r="E151">
            <v>157</v>
          </cell>
          <cell r="F151">
            <v>426</v>
          </cell>
          <cell r="G151">
            <v>0.20382165605095542</v>
          </cell>
          <cell r="H151">
            <v>7.5117370892018781E-2</v>
          </cell>
        </row>
        <row r="152">
          <cell r="A152">
            <v>44894</v>
          </cell>
          <cell r="B152">
            <v>23</v>
          </cell>
          <cell r="E152">
            <v>157</v>
          </cell>
          <cell r="F152">
            <v>426</v>
          </cell>
          <cell r="G152">
            <v>0.1464968152866242</v>
          </cell>
          <cell r="H152">
            <v>5.39906103286385E-2</v>
          </cell>
        </row>
        <row r="153">
          <cell r="A153">
            <v>44895</v>
          </cell>
          <cell r="B153">
            <v>35</v>
          </cell>
          <cell r="E153">
            <v>157</v>
          </cell>
          <cell r="F153">
            <v>426</v>
          </cell>
          <cell r="G153">
            <v>0.22292993630573249</v>
          </cell>
          <cell r="H153">
            <v>8.2159624413145546E-2</v>
          </cell>
        </row>
        <row r="154">
          <cell r="A154">
            <v>44896</v>
          </cell>
          <cell r="B154">
            <v>32</v>
          </cell>
          <cell r="E154">
            <v>157</v>
          </cell>
          <cell r="F154">
            <v>390</v>
          </cell>
          <cell r="G154">
            <v>0.20382165605095542</v>
          </cell>
          <cell r="H154">
            <v>8.2051282051282051E-2</v>
          </cell>
        </row>
        <row r="155">
          <cell r="A155">
            <v>44897</v>
          </cell>
          <cell r="B155">
            <v>25</v>
          </cell>
          <cell r="E155">
            <v>157</v>
          </cell>
          <cell r="F155">
            <v>390</v>
          </cell>
          <cell r="G155">
            <v>0.15923566878980891</v>
          </cell>
          <cell r="H155">
            <v>6.4102564102564097E-2</v>
          </cell>
        </row>
        <row r="156">
          <cell r="A156">
            <v>44898</v>
          </cell>
          <cell r="B156">
            <v>19</v>
          </cell>
          <cell r="E156">
            <v>157</v>
          </cell>
          <cell r="F156">
            <v>390</v>
          </cell>
          <cell r="G156">
            <v>0.12101910828025478</v>
          </cell>
          <cell r="H156">
            <v>4.8717948717948718E-2</v>
          </cell>
        </row>
        <row r="157">
          <cell r="A157">
            <v>44899</v>
          </cell>
          <cell r="B157">
            <v>30</v>
          </cell>
          <cell r="E157">
            <v>157</v>
          </cell>
          <cell r="F157">
            <v>390</v>
          </cell>
          <cell r="G157">
            <v>0.19108280254777071</v>
          </cell>
          <cell r="H157">
            <v>7.6923076923076927E-2</v>
          </cell>
        </row>
        <row r="158">
          <cell r="A158">
            <v>44900</v>
          </cell>
          <cell r="B158">
            <v>23</v>
          </cell>
          <cell r="E158">
            <v>156</v>
          </cell>
          <cell r="F158">
            <v>390</v>
          </cell>
          <cell r="G158">
            <v>0.14743589743589744</v>
          </cell>
          <cell r="H158">
            <v>5.8974358974358973E-2</v>
          </cell>
        </row>
        <row r="159">
          <cell r="A159">
            <v>44901</v>
          </cell>
          <cell r="B159">
            <v>32</v>
          </cell>
          <cell r="E159">
            <v>156</v>
          </cell>
          <cell r="F159">
            <v>390</v>
          </cell>
          <cell r="G159">
            <v>0.20512820512820512</v>
          </cell>
          <cell r="H159">
            <v>8.2051282051282051E-2</v>
          </cell>
        </row>
        <row r="160">
          <cell r="A160">
            <v>44902</v>
          </cell>
          <cell r="B160">
            <v>35</v>
          </cell>
          <cell r="E160">
            <v>156</v>
          </cell>
          <cell r="F160">
            <v>390</v>
          </cell>
          <cell r="G160">
            <v>0.22435897435897437</v>
          </cell>
          <cell r="H160">
            <v>8.9743589743589744E-2</v>
          </cell>
        </row>
        <row r="161">
          <cell r="A161">
            <v>44903</v>
          </cell>
          <cell r="B161">
            <v>29</v>
          </cell>
          <cell r="E161">
            <v>156</v>
          </cell>
          <cell r="F161">
            <v>390</v>
          </cell>
          <cell r="G161">
            <v>0.1858974358974359</v>
          </cell>
          <cell r="H161">
            <v>7.4358974358974358E-2</v>
          </cell>
        </row>
        <row r="162">
          <cell r="A162">
            <v>44904</v>
          </cell>
          <cell r="B162">
            <v>36</v>
          </cell>
          <cell r="E162">
            <v>156</v>
          </cell>
          <cell r="F162">
            <v>390</v>
          </cell>
          <cell r="G162">
            <v>0.23076923076923078</v>
          </cell>
          <cell r="H162">
            <v>9.2307692307692313E-2</v>
          </cell>
        </row>
        <row r="163">
          <cell r="A163">
            <v>44905</v>
          </cell>
          <cell r="B163">
            <v>30</v>
          </cell>
          <cell r="E163">
            <v>156</v>
          </cell>
          <cell r="F163">
            <v>390</v>
          </cell>
          <cell r="G163">
            <v>0.19230769230769232</v>
          </cell>
          <cell r="H163">
            <v>7.6923076923076927E-2</v>
          </cell>
        </row>
        <row r="164">
          <cell r="A164">
            <v>44906</v>
          </cell>
          <cell r="B164">
            <v>25</v>
          </cell>
          <cell r="E164">
            <v>156</v>
          </cell>
          <cell r="F164">
            <v>390</v>
          </cell>
          <cell r="G164">
            <v>0.16025641025641027</v>
          </cell>
          <cell r="H164">
            <v>6.4102564102564097E-2</v>
          </cell>
        </row>
        <row r="165">
          <cell r="A165">
            <v>44907</v>
          </cell>
          <cell r="B165">
            <v>31</v>
          </cell>
          <cell r="E165">
            <v>153</v>
          </cell>
          <cell r="F165">
            <v>390</v>
          </cell>
          <cell r="G165">
            <v>0.20261437908496732</v>
          </cell>
          <cell r="H165">
            <v>7.9487179487179482E-2</v>
          </cell>
        </row>
        <row r="166">
          <cell r="A166">
            <v>44908</v>
          </cell>
          <cell r="B166">
            <v>34</v>
          </cell>
          <cell r="E166">
            <v>153</v>
          </cell>
          <cell r="F166">
            <v>390</v>
          </cell>
          <cell r="G166">
            <v>0.22222222222222221</v>
          </cell>
          <cell r="H166">
            <v>8.7179487179487175E-2</v>
          </cell>
        </row>
        <row r="167">
          <cell r="A167">
            <v>44909</v>
          </cell>
          <cell r="B167">
            <v>22</v>
          </cell>
          <cell r="E167">
            <v>153</v>
          </cell>
          <cell r="F167">
            <v>390</v>
          </cell>
          <cell r="G167">
            <v>0.1437908496732026</v>
          </cell>
          <cell r="H167">
            <v>5.6410256410256411E-2</v>
          </cell>
        </row>
        <row r="168">
          <cell r="A168">
            <v>44910</v>
          </cell>
          <cell r="B168">
            <v>26</v>
          </cell>
          <cell r="E168">
            <v>153</v>
          </cell>
          <cell r="F168">
            <v>390</v>
          </cell>
          <cell r="G168">
            <v>0.16993464052287582</v>
          </cell>
          <cell r="H168">
            <v>6.6666666666666666E-2</v>
          </cell>
        </row>
        <row r="169">
          <cell r="A169">
            <v>44911</v>
          </cell>
          <cell r="B169">
            <v>27</v>
          </cell>
          <cell r="E169">
            <v>153</v>
          </cell>
          <cell r="F169">
            <v>390</v>
          </cell>
          <cell r="G169">
            <v>0.17647058823529413</v>
          </cell>
          <cell r="H169">
            <v>6.9230769230769235E-2</v>
          </cell>
        </row>
        <row r="170">
          <cell r="A170">
            <v>44912</v>
          </cell>
          <cell r="B170">
            <v>28</v>
          </cell>
          <cell r="E170">
            <v>153</v>
          </cell>
          <cell r="F170">
            <v>390</v>
          </cell>
          <cell r="G170">
            <v>0.18300653594771241</v>
          </cell>
          <cell r="H170">
            <v>7.179487179487179E-2</v>
          </cell>
        </row>
        <row r="171">
          <cell r="A171">
            <v>44913</v>
          </cell>
          <cell r="B171">
            <v>20</v>
          </cell>
          <cell r="E171">
            <v>153</v>
          </cell>
          <cell r="F171">
            <v>390</v>
          </cell>
          <cell r="G171">
            <v>0.13071895424836602</v>
          </cell>
          <cell r="H171">
            <v>5.128205128205128E-2</v>
          </cell>
        </row>
        <row r="172">
          <cell r="A172">
            <v>44914</v>
          </cell>
          <cell r="B172">
            <v>32</v>
          </cell>
          <cell r="E172">
            <v>145</v>
          </cell>
          <cell r="F172">
            <v>390</v>
          </cell>
          <cell r="G172">
            <v>0.22068965517241379</v>
          </cell>
          <cell r="H172">
            <v>8.2051282051282051E-2</v>
          </cell>
        </row>
        <row r="173">
          <cell r="A173">
            <v>44915</v>
          </cell>
          <cell r="B173">
            <v>28</v>
          </cell>
          <cell r="E173">
            <v>145</v>
          </cell>
          <cell r="F173">
            <v>390</v>
          </cell>
          <cell r="G173">
            <v>0.19310344827586207</v>
          </cell>
          <cell r="H173">
            <v>7.179487179487179E-2</v>
          </cell>
        </row>
        <row r="174">
          <cell r="A174">
            <v>44916</v>
          </cell>
          <cell r="B174">
            <v>28</v>
          </cell>
          <cell r="E174">
            <v>145</v>
          </cell>
          <cell r="F174">
            <v>390</v>
          </cell>
          <cell r="G174">
            <v>0.19310344827586207</v>
          </cell>
          <cell r="H174">
            <v>7.179487179487179E-2</v>
          </cell>
        </row>
        <row r="175">
          <cell r="A175">
            <v>44917</v>
          </cell>
          <cell r="B175">
            <v>29</v>
          </cell>
          <cell r="E175">
            <v>145</v>
          </cell>
          <cell r="F175">
            <v>390</v>
          </cell>
          <cell r="G175">
            <v>0.2</v>
          </cell>
          <cell r="H175">
            <v>7.4358974358974358E-2</v>
          </cell>
        </row>
        <row r="176">
          <cell r="A176">
            <v>44918</v>
          </cell>
          <cell r="B176">
            <v>36</v>
          </cell>
          <cell r="E176">
            <v>145</v>
          </cell>
          <cell r="F176">
            <v>390</v>
          </cell>
          <cell r="G176">
            <v>0.24827586206896551</v>
          </cell>
          <cell r="H176">
            <v>9.2307692307692313E-2</v>
          </cell>
        </row>
        <row r="177">
          <cell r="A177">
            <v>44919</v>
          </cell>
          <cell r="B177">
            <v>24</v>
          </cell>
          <cell r="E177">
            <v>145</v>
          </cell>
          <cell r="F177">
            <v>390</v>
          </cell>
          <cell r="G177">
            <v>0.16551724137931034</v>
          </cell>
          <cell r="H177">
            <v>6.1538461538461542E-2</v>
          </cell>
        </row>
        <row r="178">
          <cell r="A178">
            <v>44920</v>
          </cell>
          <cell r="B178">
            <v>33</v>
          </cell>
          <cell r="E178">
            <v>145</v>
          </cell>
          <cell r="F178">
            <v>390</v>
          </cell>
          <cell r="G178">
            <v>0.22758620689655173</v>
          </cell>
          <cell r="H178">
            <v>8.461538461538462E-2</v>
          </cell>
        </row>
        <row r="179">
          <cell r="A179">
            <v>44921</v>
          </cell>
          <cell r="B179">
            <v>26</v>
          </cell>
          <cell r="E179">
            <v>141</v>
          </cell>
          <cell r="F179">
            <v>390</v>
          </cell>
          <cell r="G179">
            <v>0.18439716312056736</v>
          </cell>
          <cell r="H179">
            <v>6.6666666666666666E-2</v>
          </cell>
        </row>
        <row r="180">
          <cell r="A180">
            <v>44922</v>
          </cell>
          <cell r="B180">
            <v>24</v>
          </cell>
          <cell r="E180">
            <v>141</v>
          </cell>
          <cell r="F180">
            <v>390</v>
          </cell>
          <cell r="G180">
            <v>0.1702127659574468</v>
          </cell>
          <cell r="H180">
            <v>6.1538461538461542E-2</v>
          </cell>
        </row>
        <row r="181">
          <cell r="A181">
            <v>44923</v>
          </cell>
          <cell r="B181">
            <v>32</v>
          </cell>
          <cell r="E181">
            <v>141</v>
          </cell>
          <cell r="F181">
            <v>390</v>
          </cell>
          <cell r="G181">
            <v>0.22695035460992907</v>
          </cell>
          <cell r="H181">
            <v>8.2051282051282051E-2</v>
          </cell>
        </row>
        <row r="182">
          <cell r="A182">
            <v>44924</v>
          </cell>
          <cell r="B182">
            <v>29</v>
          </cell>
          <cell r="E182">
            <v>141</v>
          </cell>
          <cell r="F182">
            <v>390</v>
          </cell>
          <cell r="G182">
            <v>0.20567375886524822</v>
          </cell>
          <cell r="H182">
            <v>7.4358974358974358E-2</v>
          </cell>
        </row>
        <row r="183">
          <cell r="A183">
            <v>44925</v>
          </cell>
          <cell r="B183">
            <v>22</v>
          </cell>
          <cell r="E183">
            <v>141</v>
          </cell>
          <cell r="F183">
            <v>390</v>
          </cell>
          <cell r="G183">
            <v>0.15602836879432624</v>
          </cell>
          <cell r="H183">
            <v>5.6410256410256411E-2</v>
          </cell>
        </row>
        <row r="184">
          <cell r="A184">
            <v>44926</v>
          </cell>
          <cell r="B184">
            <v>37</v>
          </cell>
          <cell r="E184">
            <v>141</v>
          </cell>
          <cell r="F184">
            <v>390</v>
          </cell>
          <cell r="G184">
            <v>0.26241134751773049</v>
          </cell>
          <cell r="H184">
            <v>9.4871794871794868E-2</v>
          </cell>
        </row>
        <row r="185">
          <cell r="A185">
            <v>44927</v>
          </cell>
          <cell r="B185">
            <v>24</v>
          </cell>
          <cell r="E185">
            <v>141</v>
          </cell>
          <cell r="F185">
            <v>536</v>
          </cell>
          <cell r="G185">
            <v>0.1702127659574468</v>
          </cell>
          <cell r="H185">
            <v>4.4776119402985072E-2</v>
          </cell>
        </row>
        <row r="186">
          <cell r="A186">
            <v>44928</v>
          </cell>
          <cell r="B186">
            <v>35</v>
          </cell>
          <cell r="E186">
            <v>190</v>
          </cell>
          <cell r="F186">
            <v>536</v>
          </cell>
          <cell r="G186">
            <v>0.18421052631578946</v>
          </cell>
          <cell r="H186">
            <v>6.5298507462686561E-2</v>
          </cell>
        </row>
        <row r="187">
          <cell r="A187">
            <v>44929</v>
          </cell>
          <cell r="B187">
            <v>40</v>
          </cell>
          <cell r="E187">
            <v>190</v>
          </cell>
          <cell r="F187">
            <v>536</v>
          </cell>
          <cell r="G187">
            <v>0.21052631578947367</v>
          </cell>
          <cell r="H187">
            <v>7.4626865671641784E-2</v>
          </cell>
        </row>
        <row r="188">
          <cell r="A188">
            <v>44930</v>
          </cell>
          <cell r="B188">
            <v>46</v>
          </cell>
          <cell r="E188">
            <v>190</v>
          </cell>
          <cell r="F188">
            <v>536</v>
          </cell>
          <cell r="G188">
            <v>0.24210526315789474</v>
          </cell>
          <cell r="H188">
            <v>8.5820895522388058E-2</v>
          </cell>
        </row>
        <row r="189">
          <cell r="A189">
            <v>44931</v>
          </cell>
          <cell r="B189">
            <v>36</v>
          </cell>
          <cell r="E189">
            <v>190</v>
          </cell>
          <cell r="F189">
            <v>536</v>
          </cell>
          <cell r="G189">
            <v>0.18947368421052632</v>
          </cell>
          <cell r="H189">
            <v>6.7164179104477612E-2</v>
          </cell>
        </row>
        <row r="190">
          <cell r="A190">
            <v>44932</v>
          </cell>
          <cell r="B190">
            <v>46</v>
          </cell>
          <cell r="E190">
            <v>190</v>
          </cell>
          <cell r="F190">
            <v>536</v>
          </cell>
          <cell r="G190">
            <v>0.24210526315789474</v>
          </cell>
          <cell r="H190">
            <v>8.5820895522388058E-2</v>
          </cell>
        </row>
        <row r="191">
          <cell r="A191">
            <v>44933</v>
          </cell>
          <cell r="B191">
            <v>35</v>
          </cell>
          <cell r="E191">
            <v>190</v>
          </cell>
          <cell r="F191">
            <v>536</v>
          </cell>
          <cell r="G191">
            <v>0.18421052631578946</v>
          </cell>
          <cell r="H191">
            <v>6.5298507462686561E-2</v>
          </cell>
        </row>
        <row r="192">
          <cell r="A192">
            <v>44934</v>
          </cell>
          <cell r="B192">
            <v>53</v>
          </cell>
          <cell r="E192">
            <v>190</v>
          </cell>
          <cell r="F192">
            <v>536</v>
          </cell>
          <cell r="G192">
            <v>0.27894736842105261</v>
          </cell>
          <cell r="H192">
            <v>9.8880597014925367E-2</v>
          </cell>
        </row>
        <row r="193">
          <cell r="A193">
            <v>44935</v>
          </cell>
          <cell r="B193">
            <v>53</v>
          </cell>
          <cell r="E193">
            <v>233</v>
          </cell>
          <cell r="F193">
            <v>536</v>
          </cell>
          <cell r="G193">
            <v>0.22746781115879827</v>
          </cell>
          <cell r="H193">
            <v>9.8880597014925367E-2</v>
          </cell>
        </row>
        <row r="194">
          <cell r="A194">
            <v>44936</v>
          </cell>
          <cell r="B194">
            <v>52</v>
          </cell>
          <cell r="E194">
            <v>233</v>
          </cell>
          <cell r="F194">
            <v>536</v>
          </cell>
          <cell r="G194">
            <v>0.22317596566523606</v>
          </cell>
          <cell r="H194">
            <v>9.7014925373134331E-2</v>
          </cell>
        </row>
        <row r="195">
          <cell r="A195">
            <v>44937</v>
          </cell>
          <cell r="B195">
            <v>65</v>
          </cell>
          <cell r="E195">
            <v>233</v>
          </cell>
          <cell r="F195">
            <v>536</v>
          </cell>
          <cell r="G195">
            <v>0.27896995708154504</v>
          </cell>
          <cell r="H195">
            <v>0.12126865671641791</v>
          </cell>
        </row>
        <row r="196">
          <cell r="A196">
            <v>44938</v>
          </cell>
          <cell r="B196">
            <v>52</v>
          </cell>
          <cell r="E196">
            <v>233</v>
          </cell>
          <cell r="F196">
            <v>536</v>
          </cell>
          <cell r="G196">
            <v>0.22317596566523606</v>
          </cell>
          <cell r="H196">
            <v>9.7014925373134331E-2</v>
          </cell>
        </row>
        <row r="197">
          <cell r="A197">
            <v>44939</v>
          </cell>
          <cell r="B197">
            <v>62</v>
          </cell>
          <cell r="E197">
            <v>233</v>
          </cell>
          <cell r="F197">
            <v>536</v>
          </cell>
          <cell r="G197">
            <v>0.26609442060085836</v>
          </cell>
          <cell r="H197">
            <v>0.11567164179104478</v>
          </cell>
        </row>
        <row r="198">
          <cell r="A198">
            <v>44940</v>
          </cell>
          <cell r="B198">
            <v>77</v>
          </cell>
          <cell r="E198">
            <v>233</v>
          </cell>
          <cell r="F198">
            <v>536</v>
          </cell>
          <cell r="G198">
            <v>0.33047210300429186</v>
          </cell>
          <cell r="H198">
            <v>0.14365671641791045</v>
          </cell>
        </row>
        <row r="199">
          <cell r="A199">
            <v>44941</v>
          </cell>
          <cell r="B199">
            <v>61</v>
          </cell>
          <cell r="E199">
            <v>233</v>
          </cell>
          <cell r="F199">
            <v>536</v>
          </cell>
          <cell r="G199">
            <v>0.26180257510729615</v>
          </cell>
          <cell r="H199">
            <v>0.11380597014925373</v>
          </cell>
        </row>
        <row r="200">
          <cell r="A200">
            <v>44942</v>
          </cell>
          <cell r="B200">
            <v>70</v>
          </cell>
          <cell r="E200">
            <v>272</v>
          </cell>
          <cell r="F200">
            <v>536</v>
          </cell>
          <cell r="G200">
            <v>0.25735294117647056</v>
          </cell>
          <cell r="H200">
            <v>0.13059701492537312</v>
          </cell>
        </row>
        <row r="201">
          <cell r="A201">
            <v>44943</v>
          </cell>
          <cell r="B201">
            <v>66</v>
          </cell>
          <cell r="E201">
            <v>272</v>
          </cell>
          <cell r="F201">
            <v>536</v>
          </cell>
          <cell r="G201">
            <v>0.24264705882352941</v>
          </cell>
          <cell r="H201">
            <v>0.12313432835820895</v>
          </cell>
        </row>
        <row r="202">
          <cell r="A202">
            <v>44944</v>
          </cell>
          <cell r="B202">
            <v>73</v>
          </cell>
          <cell r="E202">
            <v>272</v>
          </cell>
          <cell r="F202">
            <v>536</v>
          </cell>
          <cell r="G202">
            <v>0.26838235294117646</v>
          </cell>
          <cell r="H202">
            <v>0.13619402985074627</v>
          </cell>
        </row>
        <row r="203">
          <cell r="A203">
            <v>44945</v>
          </cell>
          <cell r="B203">
            <v>73</v>
          </cell>
          <cell r="E203">
            <v>272</v>
          </cell>
          <cell r="F203">
            <v>536</v>
          </cell>
          <cell r="G203">
            <v>0.26838235294117646</v>
          </cell>
          <cell r="H203">
            <v>0.13619402985074627</v>
          </cell>
        </row>
        <row r="204">
          <cell r="A204">
            <v>44946</v>
          </cell>
          <cell r="B204">
            <v>80</v>
          </cell>
          <cell r="E204">
            <v>272</v>
          </cell>
          <cell r="F204">
            <v>536</v>
          </cell>
          <cell r="G204">
            <v>0.29411764705882354</v>
          </cell>
          <cell r="H204">
            <v>0.14925373134328357</v>
          </cell>
        </row>
        <row r="205">
          <cell r="A205">
            <v>44947</v>
          </cell>
          <cell r="B205">
            <v>75</v>
          </cell>
          <cell r="E205">
            <v>272</v>
          </cell>
          <cell r="F205">
            <v>536</v>
          </cell>
          <cell r="G205">
            <v>0.27573529411764708</v>
          </cell>
          <cell r="H205">
            <v>0.13992537313432835</v>
          </cell>
        </row>
        <row r="206">
          <cell r="A206">
            <v>44948</v>
          </cell>
          <cell r="B206">
            <v>90</v>
          </cell>
          <cell r="E206">
            <v>272</v>
          </cell>
          <cell r="F206">
            <v>536</v>
          </cell>
          <cell r="G206">
            <v>0.33088235294117646</v>
          </cell>
          <cell r="H206">
            <v>0.16791044776119404</v>
          </cell>
        </row>
        <row r="207">
          <cell r="A207">
            <v>44949</v>
          </cell>
          <cell r="B207">
            <v>78</v>
          </cell>
          <cell r="E207">
            <v>295</v>
          </cell>
          <cell r="F207">
            <v>536</v>
          </cell>
          <cell r="G207">
            <v>0.26440677966101694</v>
          </cell>
          <cell r="H207">
            <v>0.1455223880597015</v>
          </cell>
        </row>
        <row r="208">
          <cell r="A208">
            <v>44950</v>
          </cell>
          <cell r="B208">
            <v>90</v>
          </cell>
          <cell r="E208">
            <v>295</v>
          </cell>
          <cell r="F208">
            <v>536</v>
          </cell>
          <cell r="G208">
            <v>0.30508474576271188</v>
          </cell>
          <cell r="H208">
            <v>0.16791044776119404</v>
          </cell>
        </row>
        <row r="209">
          <cell r="A209">
            <v>44951</v>
          </cell>
          <cell r="B209">
            <v>88</v>
          </cell>
          <cell r="E209">
            <v>295</v>
          </cell>
          <cell r="F209">
            <v>536</v>
          </cell>
          <cell r="G209">
            <v>0.29830508474576273</v>
          </cell>
          <cell r="H209">
            <v>0.16417910447761194</v>
          </cell>
        </row>
        <row r="210">
          <cell r="A210">
            <v>44952</v>
          </cell>
          <cell r="B210">
            <v>83</v>
          </cell>
          <cell r="E210">
            <v>295</v>
          </cell>
          <cell r="F210">
            <v>536</v>
          </cell>
          <cell r="G210">
            <v>0.28135593220338984</v>
          </cell>
          <cell r="H210">
            <v>0.15485074626865672</v>
          </cell>
        </row>
        <row r="211">
          <cell r="A211">
            <v>44953</v>
          </cell>
          <cell r="B211">
            <v>92</v>
          </cell>
          <cell r="E211">
            <v>295</v>
          </cell>
          <cell r="F211">
            <v>536</v>
          </cell>
          <cell r="G211">
            <v>0.31186440677966104</v>
          </cell>
          <cell r="H211">
            <v>0.17164179104477612</v>
          </cell>
        </row>
        <row r="212">
          <cell r="A212">
            <v>44954</v>
          </cell>
          <cell r="B212">
            <v>99</v>
          </cell>
          <cell r="E212">
            <v>295</v>
          </cell>
          <cell r="F212">
            <v>536</v>
          </cell>
          <cell r="G212">
            <v>0.33559322033898303</v>
          </cell>
          <cell r="H212">
            <v>0.18470149253731344</v>
          </cell>
        </row>
        <row r="213">
          <cell r="A213">
            <v>44955</v>
          </cell>
          <cell r="B213">
            <v>93</v>
          </cell>
          <cell r="E213">
            <v>295</v>
          </cell>
          <cell r="F213">
            <v>536</v>
          </cell>
          <cell r="G213">
            <v>0.31525423728813562</v>
          </cell>
          <cell r="H213">
            <v>0.17350746268656717</v>
          </cell>
        </row>
        <row r="214">
          <cell r="A214">
            <v>44956</v>
          </cell>
          <cell r="B214">
            <v>115</v>
          </cell>
          <cell r="E214">
            <v>346</v>
          </cell>
          <cell r="F214">
            <v>536</v>
          </cell>
          <cell r="G214">
            <v>0.33236994219653176</v>
          </cell>
          <cell r="H214">
            <v>0.21455223880597016</v>
          </cell>
        </row>
        <row r="215">
          <cell r="A215">
            <v>44957</v>
          </cell>
          <cell r="B215">
            <v>108</v>
          </cell>
          <cell r="E215">
            <v>346</v>
          </cell>
          <cell r="F215">
            <v>536</v>
          </cell>
          <cell r="G215">
            <v>0.31213872832369943</v>
          </cell>
          <cell r="H215">
            <v>0.20149253731343283</v>
          </cell>
        </row>
        <row r="216">
          <cell r="A216">
            <v>44958</v>
          </cell>
          <cell r="B216">
            <v>112</v>
          </cell>
          <cell r="E216">
            <v>346</v>
          </cell>
          <cell r="F216">
            <v>696</v>
          </cell>
          <cell r="G216">
            <v>0.32369942196531792</v>
          </cell>
          <cell r="H216">
            <v>0.16091954022988506</v>
          </cell>
        </row>
        <row r="217">
          <cell r="A217">
            <v>44959</v>
          </cell>
          <cell r="B217">
            <v>86</v>
          </cell>
          <cell r="E217">
            <v>346</v>
          </cell>
          <cell r="F217">
            <v>696</v>
          </cell>
          <cell r="G217">
            <v>0.24855491329479767</v>
          </cell>
          <cell r="H217">
            <v>0.1235632183908046</v>
          </cell>
        </row>
        <row r="218">
          <cell r="A218">
            <v>44960</v>
          </cell>
          <cell r="B218">
            <v>98</v>
          </cell>
          <cell r="E218">
            <v>346</v>
          </cell>
          <cell r="F218">
            <v>696</v>
          </cell>
          <cell r="G218">
            <v>0.2832369942196532</v>
          </cell>
          <cell r="H218">
            <v>0.14080459770114942</v>
          </cell>
        </row>
        <row r="219">
          <cell r="A219">
            <v>44961</v>
          </cell>
          <cell r="B219">
            <v>100</v>
          </cell>
          <cell r="E219">
            <v>346</v>
          </cell>
          <cell r="F219">
            <v>696</v>
          </cell>
          <cell r="G219">
            <v>0.28901734104046245</v>
          </cell>
          <cell r="H219">
            <v>0.14367816091954022</v>
          </cell>
        </row>
        <row r="220">
          <cell r="A220">
            <v>44962</v>
          </cell>
          <cell r="B220">
            <v>95</v>
          </cell>
          <cell r="E220">
            <v>346</v>
          </cell>
          <cell r="F220">
            <v>696</v>
          </cell>
          <cell r="G220">
            <v>0.27456647398843931</v>
          </cell>
          <cell r="H220">
            <v>0.13649425287356323</v>
          </cell>
        </row>
        <row r="221">
          <cell r="A221">
            <v>44963</v>
          </cell>
          <cell r="B221">
            <v>98</v>
          </cell>
          <cell r="E221">
            <v>340</v>
          </cell>
          <cell r="F221">
            <v>696</v>
          </cell>
          <cell r="G221">
            <v>0.28823529411764703</v>
          </cell>
          <cell r="H221">
            <v>0.14080459770114942</v>
          </cell>
        </row>
        <row r="222">
          <cell r="A222">
            <v>44964</v>
          </cell>
          <cell r="B222">
            <v>90</v>
          </cell>
          <cell r="E222">
            <v>340</v>
          </cell>
          <cell r="F222">
            <v>696</v>
          </cell>
          <cell r="G222">
            <v>0.26470588235294118</v>
          </cell>
          <cell r="H222">
            <v>0.12931034482758622</v>
          </cell>
        </row>
        <row r="223">
          <cell r="A223">
            <v>44965</v>
          </cell>
          <cell r="B223">
            <v>107</v>
          </cell>
          <cell r="E223">
            <v>340</v>
          </cell>
          <cell r="F223">
            <v>696</v>
          </cell>
          <cell r="G223">
            <v>0.31470588235294117</v>
          </cell>
          <cell r="H223">
            <v>0.15373563218390804</v>
          </cell>
        </row>
        <row r="224">
          <cell r="A224">
            <v>44966</v>
          </cell>
          <cell r="B224">
            <v>101</v>
          </cell>
          <cell r="E224">
            <v>340</v>
          </cell>
          <cell r="F224">
            <v>696</v>
          </cell>
          <cell r="G224">
            <v>0.29705882352941176</v>
          </cell>
          <cell r="H224">
            <v>0.14511494252873564</v>
          </cell>
        </row>
        <row r="225">
          <cell r="A225">
            <v>44967</v>
          </cell>
          <cell r="B225">
            <v>104</v>
          </cell>
          <cell r="E225">
            <v>340</v>
          </cell>
          <cell r="F225">
            <v>696</v>
          </cell>
          <cell r="G225">
            <v>0.30588235294117649</v>
          </cell>
          <cell r="H225">
            <v>0.14942528735632185</v>
          </cell>
        </row>
        <row r="226">
          <cell r="A226">
            <v>44968</v>
          </cell>
          <cell r="B226">
            <v>98</v>
          </cell>
          <cell r="E226">
            <v>340</v>
          </cell>
          <cell r="F226">
            <v>696</v>
          </cell>
          <cell r="G226">
            <v>0.28823529411764703</v>
          </cell>
          <cell r="H226">
            <v>0.14080459770114942</v>
          </cell>
        </row>
        <row r="227">
          <cell r="A227">
            <v>44969</v>
          </cell>
          <cell r="B227">
            <v>101</v>
          </cell>
          <cell r="E227">
            <v>340</v>
          </cell>
          <cell r="F227">
            <v>696</v>
          </cell>
          <cell r="G227">
            <v>0.29705882352941176</v>
          </cell>
          <cell r="H227">
            <v>0.14511494252873564</v>
          </cell>
        </row>
        <row r="228">
          <cell r="A228">
            <v>44970</v>
          </cell>
          <cell r="B228">
            <v>94</v>
          </cell>
          <cell r="E228">
            <v>347</v>
          </cell>
          <cell r="F228">
            <v>696</v>
          </cell>
          <cell r="G228">
            <v>0.27089337175792505</v>
          </cell>
          <cell r="H228">
            <v>0.13505747126436782</v>
          </cell>
        </row>
        <row r="229">
          <cell r="A229">
            <v>44971</v>
          </cell>
          <cell r="B229">
            <v>108</v>
          </cell>
          <cell r="E229">
            <v>347</v>
          </cell>
          <cell r="F229">
            <v>696</v>
          </cell>
          <cell r="G229">
            <v>0.31123919308357351</v>
          </cell>
          <cell r="H229">
            <v>0.15517241379310345</v>
          </cell>
        </row>
        <row r="230">
          <cell r="A230">
            <v>44972</v>
          </cell>
          <cell r="B230">
            <v>103</v>
          </cell>
          <cell r="E230">
            <v>347</v>
          </cell>
          <cell r="F230">
            <v>696</v>
          </cell>
          <cell r="G230">
            <v>0.29682997118155618</v>
          </cell>
          <cell r="H230">
            <v>0.14798850574712644</v>
          </cell>
        </row>
        <row r="231">
          <cell r="A231">
            <v>44973</v>
          </cell>
          <cell r="B231">
            <v>95</v>
          </cell>
          <cell r="E231">
            <v>347</v>
          </cell>
          <cell r="F231">
            <v>696</v>
          </cell>
          <cell r="G231">
            <v>0.2737752161383285</v>
          </cell>
          <cell r="H231">
            <v>0.13649425287356323</v>
          </cell>
        </row>
        <row r="232">
          <cell r="A232">
            <v>44974</v>
          </cell>
          <cell r="B232">
            <v>107</v>
          </cell>
          <cell r="E232">
            <v>347</v>
          </cell>
          <cell r="F232">
            <v>696</v>
          </cell>
          <cell r="G232">
            <v>0.30835734870317005</v>
          </cell>
          <cell r="H232">
            <v>0.15373563218390804</v>
          </cell>
        </row>
        <row r="233">
          <cell r="A233">
            <v>44975</v>
          </cell>
          <cell r="B233">
            <v>116</v>
          </cell>
          <cell r="E233">
            <v>347</v>
          </cell>
          <cell r="F233">
            <v>696</v>
          </cell>
          <cell r="G233">
            <v>0.33429394812680113</v>
          </cell>
          <cell r="H233">
            <v>0.16666666666666666</v>
          </cell>
        </row>
        <row r="234">
          <cell r="A234">
            <v>44976</v>
          </cell>
          <cell r="B234">
            <v>109</v>
          </cell>
          <cell r="E234">
            <v>347</v>
          </cell>
          <cell r="F234">
            <v>696</v>
          </cell>
          <cell r="G234">
            <v>0.31412103746397696</v>
          </cell>
          <cell r="H234">
            <v>0.15660919540229884</v>
          </cell>
        </row>
        <row r="235">
          <cell r="A235">
            <v>44977</v>
          </cell>
          <cell r="B235">
            <v>84</v>
          </cell>
          <cell r="E235">
            <v>384</v>
          </cell>
          <cell r="F235">
            <v>696</v>
          </cell>
          <cell r="G235">
            <v>0.21875</v>
          </cell>
          <cell r="H235">
            <v>0.1206896551724138</v>
          </cell>
        </row>
        <row r="236">
          <cell r="A236">
            <v>44978</v>
          </cell>
          <cell r="B236">
            <v>98</v>
          </cell>
          <cell r="E236">
            <v>384</v>
          </cell>
          <cell r="F236">
            <v>696</v>
          </cell>
          <cell r="G236">
            <v>0.25520833333333331</v>
          </cell>
          <cell r="H236">
            <v>0.14080459770114942</v>
          </cell>
        </row>
        <row r="237">
          <cell r="A237">
            <v>44979</v>
          </cell>
          <cell r="B237">
            <v>115</v>
          </cell>
          <cell r="E237">
            <v>384</v>
          </cell>
          <cell r="F237">
            <v>696</v>
          </cell>
          <cell r="G237">
            <v>0.29947916666666669</v>
          </cell>
          <cell r="H237">
            <v>0.16522988505747127</v>
          </cell>
        </row>
        <row r="238">
          <cell r="A238">
            <v>44980</v>
          </cell>
          <cell r="B238">
            <v>95</v>
          </cell>
          <cell r="E238">
            <v>384</v>
          </cell>
          <cell r="F238">
            <v>696</v>
          </cell>
          <cell r="G238">
            <v>0.24739583333333334</v>
          </cell>
          <cell r="H238">
            <v>0.13649425287356323</v>
          </cell>
        </row>
        <row r="239">
          <cell r="A239">
            <v>44981</v>
          </cell>
          <cell r="B239">
            <v>106</v>
          </cell>
          <cell r="E239">
            <v>384</v>
          </cell>
          <cell r="F239">
            <v>696</v>
          </cell>
          <cell r="G239">
            <v>0.27604166666666669</v>
          </cell>
          <cell r="H239">
            <v>0.15229885057471265</v>
          </cell>
        </row>
        <row r="240">
          <cell r="A240">
            <v>44982</v>
          </cell>
          <cell r="B240">
            <v>118</v>
          </cell>
          <cell r="E240">
            <v>384</v>
          </cell>
          <cell r="F240">
            <v>696</v>
          </cell>
          <cell r="G240">
            <v>0.30729166666666669</v>
          </cell>
          <cell r="H240">
            <v>0.16954022988505746</v>
          </cell>
        </row>
        <row r="241">
          <cell r="A241">
            <v>44983</v>
          </cell>
          <cell r="B241">
            <v>127</v>
          </cell>
          <cell r="E241">
            <v>384</v>
          </cell>
          <cell r="F241">
            <v>696</v>
          </cell>
          <cell r="G241">
            <v>0.33072916666666669</v>
          </cell>
          <cell r="H241">
            <v>0.18247126436781611</v>
          </cell>
        </row>
        <row r="242">
          <cell r="A242">
            <v>44984</v>
          </cell>
          <cell r="B242">
            <v>104</v>
          </cell>
          <cell r="E242">
            <v>611</v>
          </cell>
          <cell r="F242">
            <v>696</v>
          </cell>
          <cell r="G242">
            <v>0.1702127659574468</v>
          </cell>
          <cell r="H242">
            <v>0.14942528735632185</v>
          </cell>
        </row>
        <row r="243">
          <cell r="A243">
            <v>44985</v>
          </cell>
          <cell r="B243">
            <v>131</v>
          </cell>
          <cell r="E243">
            <v>611</v>
          </cell>
          <cell r="F243">
            <v>696</v>
          </cell>
          <cell r="G243">
            <v>0.2144026186579378</v>
          </cell>
          <cell r="H243">
            <v>0.18821839080459771</v>
          </cell>
        </row>
        <row r="244">
          <cell r="A244">
            <v>44986</v>
          </cell>
          <cell r="B244">
            <v>130</v>
          </cell>
          <cell r="E244">
            <v>611</v>
          </cell>
          <cell r="F244">
            <v>1544</v>
          </cell>
          <cell r="G244">
            <v>0.21276595744680851</v>
          </cell>
          <cell r="H244">
            <v>8.4196891191709838E-2</v>
          </cell>
        </row>
        <row r="245">
          <cell r="A245">
            <v>44987</v>
          </cell>
          <cell r="B245">
            <v>138</v>
          </cell>
          <cell r="E245">
            <v>611</v>
          </cell>
          <cell r="F245">
            <v>1544</v>
          </cell>
          <cell r="G245">
            <v>0.22585924713584288</v>
          </cell>
          <cell r="H245">
            <v>8.937823834196891E-2</v>
          </cell>
        </row>
        <row r="246">
          <cell r="A246">
            <v>44988</v>
          </cell>
          <cell r="B246">
            <v>167</v>
          </cell>
          <cell r="E246">
            <v>611</v>
          </cell>
          <cell r="F246">
            <v>1544</v>
          </cell>
          <cell r="G246">
            <v>0.27332242225859249</v>
          </cell>
          <cell r="H246">
            <v>0.10816062176165803</v>
          </cell>
        </row>
        <row r="247">
          <cell r="A247">
            <v>44989</v>
          </cell>
          <cell r="B247">
            <v>170</v>
          </cell>
          <cell r="E247">
            <v>611</v>
          </cell>
          <cell r="F247">
            <v>1544</v>
          </cell>
          <cell r="G247">
            <v>0.27823240589198034</v>
          </cell>
          <cell r="H247">
            <v>0.11010362694300518</v>
          </cell>
        </row>
        <row r="248">
          <cell r="A248">
            <v>44990</v>
          </cell>
          <cell r="B248">
            <v>165</v>
          </cell>
          <cell r="E248">
            <v>611</v>
          </cell>
          <cell r="F248">
            <v>1544</v>
          </cell>
          <cell r="G248">
            <v>0.27004909983633391</v>
          </cell>
          <cell r="H248">
            <v>0.10686528497409327</v>
          </cell>
        </row>
        <row r="249">
          <cell r="A249">
            <v>44991</v>
          </cell>
          <cell r="B249">
            <v>149</v>
          </cell>
          <cell r="E249">
            <v>712</v>
          </cell>
          <cell r="F249">
            <v>1544</v>
          </cell>
          <cell r="G249">
            <v>0.20926966292134833</v>
          </cell>
          <cell r="H249">
            <v>9.6502590673575125E-2</v>
          </cell>
        </row>
        <row r="250">
          <cell r="A250">
            <v>44992</v>
          </cell>
          <cell r="B250">
            <v>151</v>
          </cell>
          <cell r="E250">
            <v>712</v>
          </cell>
          <cell r="F250">
            <v>1544</v>
          </cell>
          <cell r="G250">
            <v>0.21207865168539325</v>
          </cell>
          <cell r="H250">
            <v>9.7797927461139897E-2</v>
          </cell>
        </row>
        <row r="251">
          <cell r="A251">
            <v>44993</v>
          </cell>
          <cell r="B251">
            <v>173</v>
          </cell>
          <cell r="E251">
            <v>712</v>
          </cell>
          <cell r="F251">
            <v>1544</v>
          </cell>
          <cell r="G251">
            <v>0.24297752808988765</v>
          </cell>
          <cell r="H251">
            <v>0.11204663212435233</v>
          </cell>
        </row>
        <row r="252">
          <cell r="A252">
            <v>44994</v>
          </cell>
          <cell r="B252">
            <v>150</v>
          </cell>
          <cell r="E252">
            <v>712</v>
          </cell>
          <cell r="F252">
            <v>1544</v>
          </cell>
          <cell r="G252">
            <v>0.21067415730337077</v>
          </cell>
          <cell r="H252">
            <v>9.7150259067357511E-2</v>
          </cell>
        </row>
        <row r="253">
          <cell r="A253">
            <v>44995</v>
          </cell>
          <cell r="B253">
            <v>162</v>
          </cell>
          <cell r="E253">
            <v>712</v>
          </cell>
          <cell r="F253">
            <v>1544</v>
          </cell>
          <cell r="G253">
            <v>0.22752808988764045</v>
          </cell>
          <cell r="H253">
            <v>0.10492227979274611</v>
          </cell>
        </row>
        <row r="254">
          <cell r="A254">
            <v>44996</v>
          </cell>
          <cell r="B254">
            <v>175</v>
          </cell>
          <cell r="E254">
            <v>712</v>
          </cell>
          <cell r="F254">
            <v>1544</v>
          </cell>
          <cell r="G254">
            <v>0.24578651685393257</v>
          </cell>
          <cell r="H254">
            <v>0.1133419689119171</v>
          </cell>
        </row>
        <row r="255">
          <cell r="A255">
            <v>44997</v>
          </cell>
          <cell r="B255">
            <v>176</v>
          </cell>
          <cell r="E255">
            <v>712</v>
          </cell>
          <cell r="F255">
            <v>1544</v>
          </cell>
          <cell r="G255">
            <v>0.24719101123595505</v>
          </cell>
          <cell r="H255">
            <v>0.11398963730569948</v>
          </cell>
        </row>
        <row r="256">
          <cell r="A256">
            <v>44998</v>
          </cell>
          <cell r="B256">
            <v>180</v>
          </cell>
          <cell r="E256">
            <v>772</v>
          </cell>
          <cell r="F256">
            <v>1544</v>
          </cell>
          <cell r="G256">
            <v>0.23316062176165803</v>
          </cell>
          <cell r="H256">
            <v>0.11658031088082901</v>
          </cell>
        </row>
        <row r="257">
          <cell r="A257">
            <v>44999</v>
          </cell>
          <cell r="B257">
            <v>168</v>
          </cell>
          <cell r="E257">
            <v>772</v>
          </cell>
          <cell r="F257">
            <v>1544</v>
          </cell>
          <cell r="G257">
            <v>0.21761658031088082</v>
          </cell>
          <cell r="H257">
            <v>0.10880829015544041</v>
          </cell>
        </row>
        <row r="258">
          <cell r="A258">
            <v>45000</v>
          </cell>
          <cell r="B258">
            <v>185</v>
          </cell>
          <cell r="E258">
            <v>772</v>
          </cell>
          <cell r="F258">
            <v>1544</v>
          </cell>
          <cell r="G258">
            <v>0.23963730569948186</v>
          </cell>
          <cell r="H258">
            <v>0.11981865284974093</v>
          </cell>
        </row>
        <row r="259">
          <cell r="A259">
            <v>45001</v>
          </cell>
          <cell r="B259">
            <v>181</v>
          </cell>
          <cell r="E259">
            <v>772</v>
          </cell>
          <cell r="F259">
            <v>1544</v>
          </cell>
          <cell r="G259">
            <v>0.2344559585492228</v>
          </cell>
          <cell r="H259">
            <v>0.1172279792746114</v>
          </cell>
        </row>
        <row r="260">
          <cell r="A260">
            <v>45002</v>
          </cell>
          <cell r="B260">
            <v>172</v>
          </cell>
          <cell r="E260">
            <v>772</v>
          </cell>
          <cell r="F260">
            <v>1544</v>
          </cell>
          <cell r="G260">
            <v>0.22279792746113988</v>
          </cell>
          <cell r="H260">
            <v>0.11139896373056994</v>
          </cell>
        </row>
        <row r="261">
          <cell r="A261">
            <v>45003</v>
          </cell>
          <cell r="B261">
            <v>187</v>
          </cell>
          <cell r="E261">
            <v>772</v>
          </cell>
          <cell r="F261">
            <v>1544</v>
          </cell>
          <cell r="G261">
            <v>0.2422279792746114</v>
          </cell>
          <cell r="H261">
            <v>0.1211139896373057</v>
          </cell>
        </row>
        <row r="262">
          <cell r="A262">
            <v>45004</v>
          </cell>
          <cell r="B262">
            <v>218</v>
          </cell>
          <cell r="E262">
            <v>772</v>
          </cell>
          <cell r="F262">
            <v>1544</v>
          </cell>
          <cell r="G262">
            <v>0.28238341968911918</v>
          </cell>
          <cell r="H262">
            <v>0.14119170984455959</v>
          </cell>
        </row>
        <row r="263">
          <cell r="A263">
            <v>45005</v>
          </cell>
          <cell r="B263">
            <v>184</v>
          </cell>
          <cell r="E263">
            <v>656</v>
          </cell>
          <cell r="F263">
            <v>1544</v>
          </cell>
          <cell r="G263">
            <v>0.28048780487804881</v>
          </cell>
          <cell r="H263">
            <v>0.11917098445595854</v>
          </cell>
        </row>
        <row r="264">
          <cell r="A264">
            <v>45006</v>
          </cell>
          <cell r="B264">
            <v>194</v>
          </cell>
          <cell r="E264">
            <v>656</v>
          </cell>
          <cell r="F264">
            <v>1544</v>
          </cell>
          <cell r="G264">
            <v>0.29573170731707316</v>
          </cell>
          <cell r="H264">
            <v>0.12564766839378239</v>
          </cell>
        </row>
        <row r="265">
          <cell r="A265">
            <v>45007</v>
          </cell>
          <cell r="B265">
            <v>131</v>
          </cell>
          <cell r="E265">
            <v>656</v>
          </cell>
          <cell r="F265">
            <v>1544</v>
          </cell>
          <cell r="G265">
            <v>0.19969512195121952</v>
          </cell>
          <cell r="H265">
            <v>8.4844559585492224E-2</v>
          </cell>
        </row>
        <row r="266">
          <cell r="A266">
            <v>45008</v>
          </cell>
          <cell r="B266">
            <v>176</v>
          </cell>
          <cell r="E266">
            <v>656</v>
          </cell>
          <cell r="F266">
            <v>1544</v>
          </cell>
          <cell r="G266">
            <v>0.26829268292682928</v>
          </cell>
          <cell r="H266">
            <v>0.11398963730569948</v>
          </cell>
        </row>
        <row r="267">
          <cell r="A267">
            <v>45009</v>
          </cell>
          <cell r="B267">
            <v>136</v>
          </cell>
          <cell r="E267">
            <v>656</v>
          </cell>
          <cell r="F267">
            <v>1544</v>
          </cell>
          <cell r="G267">
            <v>0.2073170731707317</v>
          </cell>
          <cell r="H267">
            <v>8.8082901554404139E-2</v>
          </cell>
        </row>
        <row r="268">
          <cell r="A268">
            <v>45010</v>
          </cell>
          <cell r="B268">
            <v>153</v>
          </cell>
          <cell r="E268">
            <v>656</v>
          </cell>
          <cell r="F268">
            <v>1544</v>
          </cell>
          <cell r="G268">
            <v>0.23323170731707318</v>
          </cell>
          <cell r="H268">
            <v>9.9093264248704668E-2</v>
          </cell>
        </row>
        <row r="269">
          <cell r="A269">
            <v>45011</v>
          </cell>
          <cell r="B269">
            <v>159</v>
          </cell>
          <cell r="E269">
            <v>656</v>
          </cell>
          <cell r="F269">
            <v>1544</v>
          </cell>
          <cell r="G269">
            <v>0.2423780487804878</v>
          </cell>
          <cell r="H269">
            <v>0.10297927461139897</v>
          </cell>
        </row>
        <row r="270">
          <cell r="A270">
            <v>45012</v>
          </cell>
          <cell r="B270">
            <v>143</v>
          </cell>
          <cell r="E270">
            <v>661</v>
          </cell>
          <cell r="F270">
            <v>1544</v>
          </cell>
          <cell r="G270">
            <v>0.21633888048411498</v>
          </cell>
          <cell r="H270">
            <v>9.2616580310880825E-2</v>
          </cell>
        </row>
        <row r="271">
          <cell r="A271">
            <v>45013</v>
          </cell>
          <cell r="B271">
            <v>156</v>
          </cell>
          <cell r="E271">
            <v>661</v>
          </cell>
          <cell r="F271">
            <v>1544</v>
          </cell>
          <cell r="G271">
            <v>0.23600605143721634</v>
          </cell>
          <cell r="H271">
            <v>0.10103626943005181</v>
          </cell>
        </row>
        <row r="272">
          <cell r="A272">
            <v>45014</v>
          </cell>
          <cell r="B272">
            <v>151</v>
          </cell>
          <cell r="E272">
            <v>661</v>
          </cell>
          <cell r="F272">
            <v>1544</v>
          </cell>
          <cell r="G272">
            <v>0.22844175491679275</v>
          </cell>
          <cell r="H272">
            <v>9.7797927461139897E-2</v>
          </cell>
        </row>
        <row r="273">
          <cell r="A273">
            <v>45015</v>
          </cell>
          <cell r="B273">
            <v>148</v>
          </cell>
          <cell r="E273">
            <v>661</v>
          </cell>
          <cell r="F273">
            <v>1544</v>
          </cell>
          <cell r="G273">
            <v>0.22390317700453857</v>
          </cell>
          <cell r="H273">
            <v>9.585492227979274E-2</v>
          </cell>
        </row>
        <row r="274">
          <cell r="A274">
            <v>45016</v>
          </cell>
          <cell r="B274">
            <v>184</v>
          </cell>
          <cell r="E274">
            <v>661</v>
          </cell>
          <cell r="F274">
            <v>1544</v>
          </cell>
          <cell r="G274">
            <v>0.2783661119515885</v>
          </cell>
          <cell r="H274">
            <v>0.11917098445595854</v>
          </cell>
        </row>
        <row r="275">
          <cell r="A275">
            <v>45017</v>
          </cell>
          <cell r="B275">
            <v>204</v>
          </cell>
          <cell r="E275">
            <v>661</v>
          </cell>
          <cell r="F275">
            <v>1027</v>
          </cell>
          <cell r="G275">
            <v>0.30862329803328292</v>
          </cell>
          <cell r="H275">
            <v>0.19863680623174293</v>
          </cell>
        </row>
        <row r="276">
          <cell r="A276">
            <v>45018</v>
          </cell>
          <cell r="B276">
            <v>215</v>
          </cell>
          <cell r="E276">
            <v>661</v>
          </cell>
          <cell r="F276">
            <v>1027</v>
          </cell>
          <cell r="G276">
            <v>0.32526475037821484</v>
          </cell>
          <cell r="H276">
            <v>0.20934761441090555</v>
          </cell>
        </row>
        <row r="277">
          <cell r="A277">
            <v>45019</v>
          </cell>
          <cell r="B277">
            <v>198</v>
          </cell>
          <cell r="E277">
            <v>699</v>
          </cell>
          <cell r="F277">
            <v>1027</v>
          </cell>
          <cell r="G277">
            <v>0.2832618025751073</v>
          </cell>
          <cell r="H277">
            <v>0.19279454722492698</v>
          </cell>
        </row>
        <row r="278">
          <cell r="A278">
            <v>45020</v>
          </cell>
          <cell r="B278">
            <v>199</v>
          </cell>
          <cell r="E278">
            <v>699</v>
          </cell>
          <cell r="F278">
            <v>1027</v>
          </cell>
          <cell r="G278">
            <v>0.28469241773962806</v>
          </cell>
          <cell r="H278">
            <v>0.19376825705939629</v>
          </cell>
        </row>
        <row r="279">
          <cell r="A279">
            <v>45021</v>
          </cell>
          <cell r="B279">
            <v>188</v>
          </cell>
          <cell r="E279">
            <v>699</v>
          </cell>
          <cell r="F279">
            <v>1027</v>
          </cell>
          <cell r="G279">
            <v>0.26895565092989987</v>
          </cell>
          <cell r="H279">
            <v>0.1830574488802337</v>
          </cell>
        </row>
        <row r="280">
          <cell r="A280">
            <v>45022</v>
          </cell>
          <cell r="B280">
            <v>197</v>
          </cell>
          <cell r="E280">
            <v>699</v>
          </cell>
          <cell r="F280">
            <v>1027</v>
          </cell>
          <cell r="G280">
            <v>0.28183118741058655</v>
          </cell>
          <cell r="H280">
            <v>0.19182083739045763</v>
          </cell>
        </row>
        <row r="281">
          <cell r="A281">
            <v>45023</v>
          </cell>
          <cell r="B281">
            <v>192</v>
          </cell>
          <cell r="E281">
            <v>699</v>
          </cell>
          <cell r="F281">
            <v>1027</v>
          </cell>
          <cell r="G281">
            <v>0.27467811158798283</v>
          </cell>
          <cell r="H281">
            <v>0.186952288218111</v>
          </cell>
        </row>
        <row r="282">
          <cell r="A282">
            <v>45024</v>
          </cell>
          <cell r="B282">
            <v>200</v>
          </cell>
          <cell r="E282">
            <v>699</v>
          </cell>
          <cell r="F282">
            <v>1027</v>
          </cell>
          <cell r="G282">
            <v>0.28612303290414881</v>
          </cell>
          <cell r="H282">
            <v>0.19474196689386564</v>
          </cell>
        </row>
        <row r="283">
          <cell r="A283">
            <v>45025</v>
          </cell>
          <cell r="B283">
            <v>192</v>
          </cell>
          <cell r="E283">
            <v>699</v>
          </cell>
          <cell r="F283">
            <v>1027</v>
          </cell>
          <cell r="G283">
            <v>0.27467811158798283</v>
          </cell>
          <cell r="H283">
            <v>0.186952288218111</v>
          </cell>
        </row>
        <row r="284">
          <cell r="A284">
            <v>45026</v>
          </cell>
          <cell r="B284">
            <v>172</v>
          </cell>
          <cell r="E284">
            <v>614</v>
          </cell>
          <cell r="F284">
            <v>1027</v>
          </cell>
          <cell r="G284">
            <v>0.28013029315960913</v>
          </cell>
          <cell r="H284">
            <v>0.16747809152872445</v>
          </cell>
        </row>
        <row r="285">
          <cell r="A285">
            <v>45027</v>
          </cell>
          <cell r="B285">
            <v>160</v>
          </cell>
          <cell r="E285">
            <v>614</v>
          </cell>
          <cell r="F285">
            <v>1027</v>
          </cell>
          <cell r="G285">
            <v>0.26058631921824105</v>
          </cell>
          <cell r="H285">
            <v>0.15579357351509251</v>
          </cell>
        </row>
        <row r="286">
          <cell r="A286">
            <v>45028</v>
          </cell>
          <cell r="B286">
            <v>168</v>
          </cell>
          <cell r="E286">
            <v>614</v>
          </cell>
          <cell r="F286">
            <v>1027</v>
          </cell>
          <cell r="G286">
            <v>0.2736156351791531</v>
          </cell>
          <cell r="H286">
            <v>0.16358325219084713</v>
          </cell>
        </row>
        <row r="287">
          <cell r="A287">
            <v>45029</v>
          </cell>
          <cell r="B287">
            <v>171</v>
          </cell>
          <cell r="E287">
            <v>614</v>
          </cell>
          <cell r="F287">
            <v>1027</v>
          </cell>
          <cell r="G287">
            <v>0.27850162866449513</v>
          </cell>
          <cell r="H287">
            <v>0.1665043816942551</v>
          </cell>
        </row>
        <row r="288">
          <cell r="A288">
            <v>45030</v>
          </cell>
          <cell r="B288">
            <v>154</v>
          </cell>
          <cell r="E288">
            <v>614</v>
          </cell>
          <cell r="F288">
            <v>1027</v>
          </cell>
          <cell r="G288">
            <v>0.250814332247557</v>
          </cell>
          <cell r="H288">
            <v>0.14995131450827653</v>
          </cell>
        </row>
        <row r="289">
          <cell r="A289">
            <v>45031</v>
          </cell>
          <cell r="B289">
            <v>146</v>
          </cell>
          <cell r="E289">
            <v>614</v>
          </cell>
          <cell r="F289">
            <v>1027</v>
          </cell>
          <cell r="G289">
            <v>0.23778501628664495</v>
          </cell>
          <cell r="H289">
            <v>0.14216163583252192</v>
          </cell>
        </row>
        <row r="290">
          <cell r="A290">
            <v>45032</v>
          </cell>
          <cell r="B290">
            <v>166</v>
          </cell>
          <cell r="E290">
            <v>614</v>
          </cell>
          <cell r="F290">
            <v>1027</v>
          </cell>
          <cell r="G290">
            <v>0.27035830618892509</v>
          </cell>
          <cell r="H290">
            <v>0.16163583252190847</v>
          </cell>
        </row>
        <row r="291">
          <cell r="A291">
            <v>45033</v>
          </cell>
          <cell r="B291">
            <v>134</v>
          </cell>
          <cell r="E291">
            <v>545</v>
          </cell>
          <cell r="F291">
            <v>1027</v>
          </cell>
          <cell r="G291">
            <v>0.24587155963302754</v>
          </cell>
          <cell r="H291">
            <v>0.13047711781888996</v>
          </cell>
        </row>
        <row r="292">
          <cell r="A292">
            <v>45034</v>
          </cell>
          <cell r="B292">
            <v>149</v>
          </cell>
          <cell r="E292">
            <v>545</v>
          </cell>
          <cell r="F292">
            <v>1027</v>
          </cell>
          <cell r="G292">
            <v>0.27339449541284405</v>
          </cell>
          <cell r="H292">
            <v>0.1450827653359299</v>
          </cell>
        </row>
        <row r="293">
          <cell r="A293">
            <v>45035</v>
          </cell>
          <cell r="B293">
            <v>132</v>
          </cell>
          <cell r="E293">
            <v>545</v>
          </cell>
          <cell r="F293">
            <v>1027</v>
          </cell>
          <cell r="G293">
            <v>0.24220183486238533</v>
          </cell>
          <cell r="H293">
            <v>0.12852969814995133</v>
          </cell>
        </row>
        <row r="294">
          <cell r="A294">
            <v>45036</v>
          </cell>
          <cell r="B294">
            <v>131</v>
          </cell>
          <cell r="E294">
            <v>545</v>
          </cell>
          <cell r="F294">
            <v>1027</v>
          </cell>
          <cell r="G294">
            <v>0.24036697247706423</v>
          </cell>
          <cell r="H294">
            <v>0.12755598831548198</v>
          </cell>
        </row>
        <row r="295">
          <cell r="A295">
            <v>45037</v>
          </cell>
          <cell r="B295">
            <v>104</v>
          </cell>
          <cell r="E295">
            <v>545</v>
          </cell>
          <cell r="F295">
            <v>1027</v>
          </cell>
          <cell r="G295">
            <v>0.19082568807339451</v>
          </cell>
          <cell r="H295">
            <v>0.10126582278481013</v>
          </cell>
        </row>
        <row r="296">
          <cell r="A296">
            <v>45038</v>
          </cell>
          <cell r="B296">
            <v>105</v>
          </cell>
          <cell r="E296">
            <v>545</v>
          </cell>
          <cell r="F296">
            <v>1027</v>
          </cell>
          <cell r="G296">
            <v>0.19266055045871561</v>
          </cell>
          <cell r="H296">
            <v>0.10223953261927946</v>
          </cell>
        </row>
        <row r="297">
          <cell r="A297">
            <v>45039</v>
          </cell>
          <cell r="B297">
            <v>105</v>
          </cell>
          <cell r="E297">
            <v>545</v>
          </cell>
          <cell r="F297">
            <v>1027</v>
          </cell>
          <cell r="G297">
            <v>0.19266055045871561</v>
          </cell>
          <cell r="H297">
            <v>0.10223953261927946</v>
          </cell>
        </row>
        <row r="298">
          <cell r="A298">
            <v>45040</v>
          </cell>
          <cell r="B298">
            <v>90</v>
          </cell>
          <cell r="E298">
            <v>422</v>
          </cell>
          <cell r="F298">
            <v>1027</v>
          </cell>
          <cell r="G298">
            <v>0.2132701421800948</v>
          </cell>
          <cell r="H298">
            <v>8.7633885102239531E-2</v>
          </cell>
        </row>
        <row r="299">
          <cell r="A299">
            <v>45041</v>
          </cell>
          <cell r="B299">
            <v>101</v>
          </cell>
          <cell r="E299">
            <v>422</v>
          </cell>
          <cell r="F299">
            <v>1027</v>
          </cell>
          <cell r="G299">
            <v>0.23933649289099526</v>
          </cell>
          <cell r="H299">
            <v>9.8344693281402148E-2</v>
          </cell>
        </row>
        <row r="300">
          <cell r="A300">
            <v>45042</v>
          </cell>
          <cell r="B300">
            <v>92</v>
          </cell>
          <cell r="E300">
            <v>422</v>
          </cell>
          <cell r="F300">
            <v>1027</v>
          </cell>
          <cell r="G300">
            <v>0.21800947867298578</v>
          </cell>
          <cell r="H300">
            <v>8.9581304771178191E-2</v>
          </cell>
        </row>
        <row r="301">
          <cell r="A301">
            <v>45043</v>
          </cell>
          <cell r="B301">
            <v>68</v>
          </cell>
          <cell r="E301">
            <v>422</v>
          </cell>
          <cell r="F301">
            <v>1027</v>
          </cell>
          <cell r="G301">
            <v>0.16113744075829384</v>
          </cell>
          <cell r="H301">
            <v>6.621226874391431E-2</v>
          </cell>
        </row>
        <row r="302">
          <cell r="A302">
            <v>45044</v>
          </cell>
          <cell r="B302">
            <v>75</v>
          </cell>
          <cell r="E302">
            <v>422</v>
          </cell>
          <cell r="F302">
            <v>1027</v>
          </cell>
          <cell r="G302">
            <v>0.17772511848341233</v>
          </cell>
          <cell r="H302">
            <v>7.3028237585199607E-2</v>
          </cell>
        </row>
        <row r="303">
          <cell r="A303">
            <v>45045</v>
          </cell>
          <cell r="B303">
            <v>73</v>
          </cell>
          <cell r="E303">
            <v>422</v>
          </cell>
          <cell r="F303">
            <v>1027</v>
          </cell>
          <cell r="G303">
            <v>0.17298578199052134</v>
          </cell>
          <cell r="H303">
            <v>7.108081791626096E-2</v>
          </cell>
        </row>
        <row r="304">
          <cell r="A304">
            <v>45046</v>
          </cell>
          <cell r="B304">
            <v>71</v>
          </cell>
          <cell r="E304">
            <v>422</v>
          </cell>
          <cell r="F304">
            <v>1027</v>
          </cell>
          <cell r="G304">
            <v>0.16824644549763032</v>
          </cell>
          <cell r="H304">
            <v>6.91333982473223E-2</v>
          </cell>
        </row>
      </sheetData>
      <sheetData sheetId="1">
        <row r="1">
          <cell r="A1" t="str">
            <v> ISOWEEKNUM</v>
          </cell>
          <cell r="B1" t="str">
            <v>week_vizit</v>
          </cell>
          <cell r="C1" t="str">
            <v>wau</v>
          </cell>
        </row>
        <row r="2">
          <cell r="A2">
            <v>26</v>
          </cell>
          <cell r="B2">
            <v>44739</v>
          </cell>
          <cell r="C2">
            <v>6</v>
          </cell>
        </row>
        <row r="3">
          <cell r="A3">
            <v>27</v>
          </cell>
          <cell r="B3">
            <v>44746</v>
          </cell>
          <cell r="C3">
            <v>59</v>
          </cell>
        </row>
        <row r="4">
          <cell r="A4">
            <v>28</v>
          </cell>
          <cell r="B4">
            <v>44753</v>
          </cell>
          <cell r="C4">
            <v>92</v>
          </cell>
        </row>
        <row r="5">
          <cell r="A5">
            <v>29</v>
          </cell>
          <cell r="B5">
            <v>44760</v>
          </cell>
          <cell r="C5">
            <v>133</v>
          </cell>
        </row>
        <row r="6">
          <cell r="A6">
            <v>30</v>
          </cell>
          <cell r="B6">
            <v>44767</v>
          </cell>
          <cell r="C6">
            <v>183</v>
          </cell>
        </row>
        <row r="7">
          <cell r="A7">
            <v>31</v>
          </cell>
          <cell r="B7">
            <v>44774</v>
          </cell>
          <cell r="C7">
            <v>202</v>
          </cell>
        </row>
        <row r="8">
          <cell r="A8">
            <v>32</v>
          </cell>
          <cell r="B8">
            <v>44781</v>
          </cell>
          <cell r="C8">
            <v>193</v>
          </cell>
        </row>
        <row r="9">
          <cell r="A9">
            <v>33</v>
          </cell>
          <cell r="B9">
            <v>44788</v>
          </cell>
          <cell r="C9">
            <v>201</v>
          </cell>
        </row>
        <row r="10">
          <cell r="A10">
            <v>34</v>
          </cell>
          <cell r="B10">
            <v>44795</v>
          </cell>
          <cell r="C10">
            <v>206</v>
          </cell>
        </row>
        <row r="11">
          <cell r="A11">
            <v>35</v>
          </cell>
          <cell r="B11">
            <v>44802</v>
          </cell>
          <cell r="C11">
            <v>192</v>
          </cell>
        </row>
        <row r="12">
          <cell r="A12">
            <v>36</v>
          </cell>
          <cell r="B12">
            <v>44809</v>
          </cell>
          <cell r="C12">
            <v>196</v>
          </cell>
        </row>
        <row r="13">
          <cell r="A13">
            <v>37</v>
          </cell>
          <cell r="B13">
            <v>44816</v>
          </cell>
          <cell r="C13">
            <v>205</v>
          </cell>
        </row>
        <row r="14">
          <cell r="A14">
            <v>38</v>
          </cell>
          <cell r="B14">
            <v>44823</v>
          </cell>
          <cell r="C14">
            <v>213</v>
          </cell>
        </row>
        <row r="15">
          <cell r="A15">
            <v>39</v>
          </cell>
          <cell r="B15">
            <v>44830</v>
          </cell>
          <cell r="C15">
            <v>208</v>
          </cell>
        </row>
        <row r="16">
          <cell r="A16">
            <v>40</v>
          </cell>
          <cell r="B16">
            <v>44837</v>
          </cell>
          <cell r="C16">
            <v>207</v>
          </cell>
        </row>
        <row r="17">
          <cell r="A17">
            <v>41</v>
          </cell>
          <cell r="B17">
            <v>44844</v>
          </cell>
          <cell r="C17">
            <v>204</v>
          </cell>
        </row>
        <row r="18">
          <cell r="A18">
            <v>42</v>
          </cell>
          <cell r="B18">
            <v>44851</v>
          </cell>
          <cell r="C18">
            <v>201</v>
          </cell>
        </row>
        <row r="19">
          <cell r="A19">
            <v>43</v>
          </cell>
          <cell r="B19">
            <v>44858</v>
          </cell>
          <cell r="C19">
            <v>213</v>
          </cell>
        </row>
        <row r="20">
          <cell r="A20">
            <v>44</v>
          </cell>
          <cell r="B20">
            <v>44865</v>
          </cell>
          <cell r="C20">
            <v>214</v>
          </cell>
        </row>
        <row r="21">
          <cell r="A21">
            <v>45</v>
          </cell>
          <cell r="B21">
            <v>44872</v>
          </cell>
          <cell r="C21">
            <v>203</v>
          </cell>
        </row>
        <row r="22">
          <cell r="A22">
            <v>46</v>
          </cell>
          <cell r="B22">
            <v>44879</v>
          </cell>
          <cell r="C22">
            <v>202</v>
          </cell>
        </row>
        <row r="23">
          <cell r="A23">
            <v>47</v>
          </cell>
          <cell r="B23">
            <v>44886</v>
          </cell>
          <cell r="C23">
            <v>167</v>
          </cell>
        </row>
        <row r="24">
          <cell r="A24">
            <v>48</v>
          </cell>
          <cell r="B24">
            <v>44893</v>
          </cell>
          <cell r="C24">
            <v>157</v>
          </cell>
        </row>
        <row r="25">
          <cell r="A25">
            <v>49</v>
          </cell>
          <cell r="B25">
            <v>44900</v>
          </cell>
          <cell r="C25">
            <v>156</v>
          </cell>
        </row>
        <row r="26">
          <cell r="A26">
            <v>50</v>
          </cell>
          <cell r="B26">
            <v>44907</v>
          </cell>
          <cell r="C26">
            <v>153</v>
          </cell>
        </row>
        <row r="27">
          <cell r="A27">
            <v>51</v>
          </cell>
          <cell r="B27">
            <v>44914</v>
          </cell>
          <cell r="C27">
            <v>145</v>
          </cell>
        </row>
        <row r="28">
          <cell r="A28">
            <v>52</v>
          </cell>
          <cell r="B28">
            <v>44921</v>
          </cell>
          <cell r="C28">
            <v>141</v>
          </cell>
        </row>
        <row r="29">
          <cell r="A29">
            <v>1</v>
          </cell>
          <cell r="B29">
            <v>44928</v>
          </cell>
          <cell r="C29">
            <v>190</v>
          </cell>
        </row>
        <row r="30">
          <cell r="A30">
            <v>2</v>
          </cell>
          <cell r="B30">
            <v>44935</v>
          </cell>
          <cell r="C30">
            <v>233</v>
          </cell>
        </row>
        <row r="31">
          <cell r="A31">
            <v>3</v>
          </cell>
          <cell r="B31">
            <v>44942</v>
          </cell>
          <cell r="C31">
            <v>272</v>
          </cell>
        </row>
        <row r="32">
          <cell r="A32">
            <v>4</v>
          </cell>
          <cell r="B32">
            <v>44949</v>
          </cell>
          <cell r="C32">
            <v>295</v>
          </cell>
        </row>
        <row r="33">
          <cell r="A33">
            <v>5</v>
          </cell>
          <cell r="B33">
            <v>44956</v>
          </cell>
          <cell r="C33">
            <v>346</v>
          </cell>
        </row>
        <row r="34">
          <cell r="A34">
            <v>6</v>
          </cell>
          <cell r="B34">
            <v>44963</v>
          </cell>
          <cell r="C34">
            <v>340</v>
          </cell>
        </row>
        <row r="35">
          <cell r="A35">
            <v>7</v>
          </cell>
          <cell r="B35">
            <v>44970</v>
          </cell>
          <cell r="C35">
            <v>347</v>
          </cell>
        </row>
        <row r="36">
          <cell r="A36">
            <v>8</v>
          </cell>
          <cell r="B36">
            <v>44977</v>
          </cell>
          <cell r="C36">
            <v>384</v>
          </cell>
        </row>
        <row r="37">
          <cell r="A37">
            <v>9</v>
          </cell>
          <cell r="B37">
            <v>44984</v>
          </cell>
          <cell r="C37">
            <v>611</v>
          </cell>
        </row>
        <row r="38">
          <cell r="A38">
            <v>10</v>
          </cell>
          <cell r="B38">
            <v>44991</v>
          </cell>
          <cell r="C38">
            <v>712</v>
          </cell>
        </row>
        <row r="39">
          <cell r="A39">
            <v>11</v>
          </cell>
          <cell r="B39">
            <v>44998</v>
          </cell>
          <cell r="C39">
            <v>772</v>
          </cell>
        </row>
        <row r="40">
          <cell r="A40">
            <v>12</v>
          </cell>
          <cell r="B40">
            <v>45005</v>
          </cell>
          <cell r="C40">
            <v>656</v>
          </cell>
        </row>
        <row r="41">
          <cell r="A41">
            <v>13</v>
          </cell>
          <cell r="B41">
            <v>45012</v>
          </cell>
          <cell r="C41">
            <v>661</v>
          </cell>
        </row>
        <row r="42">
          <cell r="A42">
            <v>14</v>
          </cell>
          <cell r="B42">
            <v>45019</v>
          </cell>
          <cell r="C42">
            <v>699</v>
          </cell>
        </row>
        <row r="43">
          <cell r="A43">
            <v>15</v>
          </cell>
          <cell r="B43">
            <v>45026</v>
          </cell>
          <cell r="C43">
            <v>614</v>
          </cell>
        </row>
        <row r="44">
          <cell r="A44">
            <v>16</v>
          </cell>
          <cell r="B44">
            <v>45033</v>
          </cell>
          <cell r="C44">
            <v>545</v>
          </cell>
        </row>
        <row r="45">
          <cell r="A45">
            <v>17</v>
          </cell>
          <cell r="B45">
            <v>45040</v>
          </cell>
          <cell r="C45">
            <v>422</v>
          </cell>
        </row>
      </sheetData>
      <sheetData sheetId="2">
        <row r="1">
          <cell r="A1" t="str">
            <v>MONTH</v>
          </cell>
          <cell r="B1" t="str">
            <v>month_vizit</v>
          </cell>
          <cell r="C1" t="str">
            <v>mau</v>
          </cell>
        </row>
        <row r="2">
          <cell r="A2">
            <v>7</v>
          </cell>
          <cell r="B2">
            <v>44743</v>
          </cell>
          <cell r="C2">
            <v>193</v>
          </cell>
        </row>
        <row r="3">
          <cell r="A3">
            <v>8</v>
          </cell>
          <cell r="B3">
            <v>44774</v>
          </cell>
          <cell r="C3">
            <v>366</v>
          </cell>
        </row>
        <row r="4">
          <cell r="A4">
            <v>9</v>
          </cell>
          <cell r="B4">
            <v>44805</v>
          </cell>
          <cell r="C4">
            <v>378</v>
          </cell>
        </row>
        <row r="5">
          <cell r="A5">
            <v>10</v>
          </cell>
          <cell r="B5">
            <v>44835</v>
          </cell>
          <cell r="C5">
            <v>393</v>
          </cell>
        </row>
        <row r="6">
          <cell r="A6">
            <v>11</v>
          </cell>
          <cell r="B6">
            <v>44866</v>
          </cell>
          <cell r="C6">
            <v>426</v>
          </cell>
        </row>
        <row r="7">
          <cell r="A7">
            <v>12</v>
          </cell>
          <cell r="B7">
            <v>44896</v>
          </cell>
          <cell r="C7">
            <v>390</v>
          </cell>
        </row>
        <row r="8">
          <cell r="A8">
            <v>1</v>
          </cell>
          <cell r="B8">
            <v>44927</v>
          </cell>
          <cell r="C8">
            <v>536</v>
          </cell>
        </row>
        <row r="9">
          <cell r="A9">
            <v>2</v>
          </cell>
          <cell r="B9">
            <v>44958</v>
          </cell>
          <cell r="C9">
            <v>696</v>
          </cell>
        </row>
        <row r="10">
          <cell r="A10">
            <v>3</v>
          </cell>
          <cell r="B10">
            <v>44986</v>
          </cell>
          <cell r="C10">
            <v>1544</v>
          </cell>
        </row>
        <row r="11">
          <cell r="A11">
            <v>4</v>
          </cell>
          <cell r="B11">
            <v>45017</v>
          </cell>
          <cell r="C11">
            <v>1027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U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sult"/>
    </sheetNames>
    <sheetDataSet>
      <sheetData sheetId="0">
        <row r="1">
          <cell r="B1" t="str">
            <v>Кол-во сессий всего</v>
          </cell>
          <cell r="C1" t="str">
            <v xml:space="preserve">Кол-во длинных сессий </v>
          </cell>
          <cell r="D1" t="str">
            <v xml:space="preserve">Доля длинных сессий </v>
          </cell>
        </row>
        <row r="2">
          <cell r="A2">
            <v>44743</v>
          </cell>
          <cell r="B2">
            <v>1203</v>
          </cell>
          <cell r="C2">
            <v>919</v>
          </cell>
          <cell r="D2">
            <v>0.76392352452202827</v>
          </cell>
        </row>
        <row r="3">
          <cell r="A3">
            <v>44774</v>
          </cell>
          <cell r="B3">
            <v>2209</v>
          </cell>
          <cell r="C3">
            <v>1707</v>
          </cell>
          <cell r="D3">
            <v>0.77274784970574917</v>
          </cell>
        </row>
        <row r="4">
          <cell r="A4">
            <v>44805</v>
          </cell>
          <cell r="B4">
            <v>2233</v>
          </cell>
          <cell r="C4">
            <v>1715</v>
          </cell>
          <cell r="D4">
            <v>0.76802507836990597</v>
          </cell>
        </row>
        <row r="5">
          <cell r="A5">
            <v>44835</v>
          </cell>
          <cell r="B5">
            <v>2332</v>
          </cell>
          <cell r="C5">
            <v>1809</v>
          </cell>
          <cell r="D5">
            <v>0.77572898799313894</v>
          </cell>
        </row>
        <row r="6">
          <cell r="A6">
            <v>44866</v>
          </cell>
          <cell r="B6">
            <v>1688</v>
          </cell>
          <cell r="C6">
            <v>1253</v>
          </cell>
          <cell r="D6">
            <v>0.74229857819905209</v>
          </cell>
        </row>
        <row r="7">
          <cell r="A7">
            <v>44896</v>
          </cell>
          <cell r="B7">
            <v>935</v>
          </cell>
          <cell r="C7">
            <v>612</v>
          </cell>
          <cell r="D7">
            <v>0.65454545454545454</v>
          </cell>
        </row>
        <row r="8">
          <cell r="A8">
            <v>44927</v>
          </cell>
          <cell r="B8">
            <v>2426</v>
          </cell>
          <cell r="C8">
            <v>1775</v>
          </cell>
          <cell r="D8">
            <v>0.73165704863973624</v>
          </cell>
        </row>
        <row r="9">
          <cell r="A9">
            <v>44958</v>
          </cell>
          <cell r="B9">
            <v>3383</v>
          </cell>
          <cell r="C9">
            <v>2429</v>
          </cell>
          <cell r="D9">
            <v>0.71800177357375106</v>
          </cell>
        </row>
        <row r="10">
          <cell r="A10">
            <v>44986</v>
          </cell>
          <cell r="B10">
            <v>5779</v>
          </cell>
          <cell r="C10">
            <v>3895</v>
          </cell>
          <cell r="D10">
            <v>0.67399204014535385</v>
          </cell>
        </row>
        <row r="11">
          <cell r="A11">
            <v>45017</v>
          </cell>
          <cell r="B11">
            <v>4973</v>
          </cell>
          <cell r="C11">
            <v>3243</v>
          </cell>
          <cell r="D11">
            <v>0.65212145586165293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AU"/>
      <sheetName val="LDAU"/>
      <sheetName val="LWAU"/>
    </sheetNames>
    <sheetDataSet>
      <sheetData sheetId="0">
        <row r="1">
          <cell r="A1" t="str">
            <v>Month</v>
          </cell>
          <cell r="B1" t="str">
            <v>Месяц</v>
          </cell>
          <cell r="C1" t="str">
            <v>LMAU</v>
          </cell>
        </row>
        <row r="2">
          <cell r="A2">
            <v>7</v>
          </cell>
          <cell r="B2">
            <v>44743</v>
          </cell>
          <cell r="C2">
            <v>77</v>
          </cell>
        </row>
        <row r="3">
          <cell r="A3">
            <v>8</v>
          </cell>
          <cell r="B3">
            <v>44774</v>
          </cell>
          <cell r="C3">
            <v>148</v>
          </cell>
        </row>
        <row r="4">
          <cell r="A4">
            <v>9</v>
          </cell>
          <cell r="B4">
            <v>44805</v>
          </cell>
          <cell r="C4">
            <v>142</v>
          </cell>
        </row>
        <row r="5">
          <cell r="A5">
            <v>10</v>
          </cell>
          <cell r="B5">
            <v>44835</v>
          </cell>
          <cell r="C5">
            <v>133</v>
          </cell>
        </row>
        <row r="6">
          <cell r="A6">
            <v>11</v>
          </cell>
          <cell r="B6">
            <v>44866</v>
          </cell>
          <cell r="C6">
            <v>158</v>
          </cell>
        </row>
        <row r="7">
          <cell r="A7">
            <v>12</v>
          </cell>
          <cell r="B7">
            <v>44896</v>
          </cell>
          <cell r="C7">
            <v>154</v>
          </cell>
        </row>
        <row r="8">
          <cell r="A8">
            <v>1</v>
          </cell>
          <cell r="B8">
            <v>44927</v>
          </cell>
          <cell r="C8">
            <v>213</v>
          </cell>
        </row>
        <row r="9">
          <cell r="A9">
            <v>2</v>
          </cell>
          <cell r="B9">
            <v>44958</v>
          </cell>
          <cell r="C9">
            <v>250</v>
          </cell>
        </row>
        <row r="10">
          <cell r="A10">
            <v>3</v>
          </cell>
          <cell r="B10">
            <v>44986</v>
          </cell>
          <cell r="C10">
            <v>532</v>
          </cell>
        </row>
        <row r="11">
          <cell r="A11">
            <v>4</v>
          </cell>
          <cell r="B11">
            <v>45017</v>
          </cell>
          <cell r="C11">
            <v>341</v>
          </cell>
        </row>
      </sheetData>
      <sheetData sheetId="1">
        <row r="1">
          <cell r="B1" t="str">
            <v>LDAU</v>
          </cell>
          <cell r="E1" t="str">
            <v>LWAU</v>
          </cell>
          <cell r="F1" t="str">
            <v>LMAU</v>
          </cell>
        </row>
        <row r="2">
          <cell r="A2">
            <v>44745</v>
          </cell>
          <cell r="B2">
            <v>1</v>
          </cell>
          <cell r="C2">
            <v>26</v>
          </cell>
          <cell r="E2">
            <v>1</v>
          </cell>
          <cell r="F2">
            <v>77</v>
          </cell>
        </row>
        <row r="3">
          <cell r="A3">
            <v>44746</v>
          </cell>
          <cell r="B3">
            <v>2</v>
          </cell>
          <cell r="C3">
            <v>27</v>
          </cell>
          <cell r="E3">
            <v>21</v>
          </cell>
          <cell r="F3">
            <v>77</v>
          </cell>
        </row>
        <row r="4">
          <cell r="A4">
            <v>44747</v>
          </cell>
          <cell r="B4">
            <v>5</v>
          </cell>
          <cell r="C4">
            <v>27</v>
          </cell>
          <cell r="E4">
            <v>21</v>
          </cell>
          <cell r="F4">
            <v>77</v>
          </cell>
        </row>
        <row r="5">
          <cell r="A5">
            <v>44748</v>
          </cell>
          <cell r="B5">
            <v>1</v>
          </cell>
          <cell r="C5">
            <v>27</v>
          </cell>
          <cell r="E5">
            <v>21</v>
          </cell>
          <cell r="F5">
            <v>77</v>
          </cell>
        </row>
        <row r="6">
          <cell r="A6">
            <v>44749</v>
          </cell>
          <cell r="B6">
            <v>5</v>
          </cell>
          <cell r="C6">
            <v>27</v>
          </cell>
          <cell r="E6">
            <v>21</v>
          </cell>
          <cell r="F6">
            <v>77</v>
          </cell>
        </row>
        <row r="7">
          <cell r="A7">
            <v>44750</v>
          </cell>
          <cell r="B7">
            <v>6</v>
          </cell>
          <cell r="C7">
            <v>27</v>
          </cell>
          <cell r="E7">
            <v>21</v>
          </cell>
          <cell r="F7">
            <v>77</v>
          </cell>
        </row>
        <row r="8">
          <cell r="A8">
            <v>44751</v>
          </cell>
          <cell r="B8">
            <v>10</v>
          </cell>
          <cell r="C8">
            <v>27</v>
          </cell>
          <cell r="E8">
            <v>21</v>
          </cell>
          <cell r="F8">
            <v>77</v>
          </cell>
        </row>
        <row r="9">
          <cell r="A9">
            <v>44752</v>
          </cell>
          <cell r="B9">
            <v>9</v>
          </cell>
          <cell r="C9">
            <v>27</v>
          </cell>
          <cell r="E9">
            <v>21</v>
          </cell>
          <cell r="F9">
            <v>77</v>
          </cell>
        </row>
        <row r="10">
          <cell r="A10">
            <v>44753</v>
          </cell>
          <cell r="B10">
            <v>5</v>
          </cell>
          <cell r="C10">
            <v>28</v>
          </cell>
          <cell r="E10">
            <v>31</v>
          </cell>
          <cell r="F10">
            <v>77</v>
          </cell>
        </row>
        <row r="11">
          <cell r="A11">
            <v>44754</v>
          </cell>
          <cell r="B11">
            <v>7</v>
          </cell>
          <cell r="C11">
            <v>28</v>
          </cell>
          <cell r="E11">
            <v>31</v>
          </cell>
          <cell r="F11">
            <v>77</v>
          </cell>
        </row>
        <row r="12">
          <cell r="A12">
            <v>44755</v>
          </cell>
          <cell r="B12">
            <v>11</v>
          </cell>
          <cell r="C12">
            <v>28</v>
          </cell>
          <cell r="E12">
            <v>31</v>
          </cell>
          <cell r="F12">
            <v>77</v>
          </cell>
        </row>
        <row r="13">
          <cell r="A13">
            <v>44756</v>
          </cell>
          <cell r="B13">
            <v>9</v>
          </cell>
          <cell r="C13">
            <v>28</v>
          </cell>
          <cell r="E13">
            <v>31</v>
          </cell>
          <cell r="F13">
            <v>77</v>
          </cell>
        </row>
        <row r="14">
          <cell r="A14">
            <v>44757</v>
          </cell>
          <cell r="B14">
            <v>7</v>
          </cell>
          <cell r="C14">
            <v>28</v>
          </cell>
          <cell r="E14">
            <v>31</v>
          </cell>
          <cell r="F14">
            <v>77</v>
          </cell>
        </row>
        <row r="15">
          <cell r="A15">
            <v>44758</v>
          </cell>
          <cell r="B15">
            <v>14</v>
          </cell>
          <cell r="C15">
            <v>28</v>
          </cell>
          <cell r="E15">
            <v>31</v>
          </cell>
          <cell r="F15">
            <v>77</v>
          </cell>
        </row>
        <row r="16">
          <cell r="A16">
            <v>44759</v>
          </cell>
          <cell r="B16">
            <v>16</v>
          </cell>
          <cell r="C16">
            <v>28</v>
          </cell>
          <cell r="E16">
            <v>31</v>
          </cell>
          <cell r="F16">
            <v>77</v>
          </cell>
        </row>
        <row r="17">
          <cell r="A17">
            <v>44760</v>
          </cell>
          <cell r="B17">
            <v>9</v>
          </cell>
          <cell r="C17">
            <v>29</v>
          </cell>
          <cell r="E17">
            <v>49</v>
          </cell>
          <cell r="F17">
            <v>77</v>
          </cell>
        </row>
        <row r="18">
          <cell r="A18">
            <v>44761</v>
          </cell>
          <cell r="B18">
            <v>12</v>
          </cell>
          <cell r="C18">
            <v>29</v>
          </cell>
          <cell r="E18">
            <v>49</v>
          </cell>
          <cell r="F18">
            <v>77</v>
          </cell>
        </row>
        <row r="19">
          <cell r="A19">
            <v>44762</v>
          </cell>
          <cell r="B19">
            <v>11</v>
          </cell>
          <cell r="C19">
            <v>29</v>
          </cell>
          <cell r="E19">
            <v>49</v>
          </cell>
          <cell r="F19">
            <v>77</v>
          </cell>
        </row>
        <row r="20">
          <cell r="A20">
            <v>44763</v>
          </cell>
          <cell r="B20">
            <v>18</v>
          </cell>
          <cell r="C20">
            <v>29</v>
          </cell>
          <cell r="E20">
            <v>49</v>
          </cell>
          <cell r="F20">
            <v>77</v>
          </cell>
        </row>
        <row r="21">
          <cell r="A21">
            <v>44764</v>
          </cell>
          <cell r="B21">
            <v>15</v>
          </cell>
          <cell r="C21">
            <v>29</v>
          </cell>
          <cell r="E21">
            <v>49</v>
          </cell>
          <cell r="F21">
            <v>77</v>
          </cell>
        </row>
        <row r="22">
          <cell r="A22">
            <v>44765</v>
          </cell>
          <cell r="B22">
            <v>18</v>
          </cell>
          <cell r="C22">
            <v>29</v>
          </cell>
          <cell r="E22">
            <v>49</v>
          </cell>
          <cell r="F22">
            <v>77</v>
          </cell>
        </row>
        <row r="23">
          <cell r="A23">
            <v>44766</v>
          </cell>
          <cell r="B23">
            <v>18</v>
          </cell>
          <cell r="C23">
            <v>29</v>
          </cell>
          <cell r="E23">
            <v>49</v>
          </cell>
          <cell r="F23">
            <v>77</v>
          </cell>
        </row>
        <row r="24">
          <cell r="A24">
            <v>44767</v>
          </cell>
          <cell r="B24">
            <v>25</v>
          </cell>
          <cell r="C24">
            <v>30</v>
          </cell>
          <cell r="E24">
            <v>73</v>
          </cell>
          <cell r="F24">
            <v>77</v>
          </cell>
        </row>
        <row r="25">
          <cell r="A25">
            <v>44768</v>
          </cell>
          <cell r="B25">
            <v>18</v>
          </cell>
          <cell r="C25">
            <v>30</v>
          </cell>
          <cell r="E25">
            <v>73</v>
          </cell>
          <cell r="F25">
            <v>77</v>
          </cell>
        </row>
        <row r="26">
          <cell r="A26">
            <v>44769</v>
          </cell>
          <cell r="B26">
            <v>17</v>
          </cell>
          <cell r="C26">
            <v>30</v>
          </cell>
          <cell r="E26">
            <v>73</v>
          </cell>
          <cell r="F26">
            <v>77</v>
          </cell>
        </row>
        <row r="27">
          <cell r="A27">
            <v>44770</v>
          </cell>
          <cell r="B27">
            <v>28</v>
          </cell>
          <cell r="C27">
            <v>30</v>
          </cell>
          <cell r="E27">
            <v>73</v>
          </cell>
          <cell r="F27">
            <v>77</v>
          </cell>
        </row>
        <row r="28">
          <cell r="A28">
            <v>44771</v>
          </cell>
          <cell r="B28">
            <v>25</v>
          </cell>
          <cell r="C28">
            <v>30</v>
          </cell>
          <cell r="E28">
            <v>73</v>
          </cell>
          <cell r="F28">
            <v>77</v>
          </cell>
        </row>
        <row r="29">
          <cell r="A29">
            <v>44772</v>
          </cell>
          <cell r="B29">
            <v>26</v>
          </cell>
          <cell r="C29">
            <v>30</v>
          </cell>
          <cell r="E29">
            <v>73</v>
          </cell>
          <cell r="F29">
            <v>77</v>
          </cell>
        </row>
        <row r="30">
          <cell r="A30">
            <v>44773</v>
          </cell>
          <cell r="B30">
            <v>27</v>
          </cell>
          <cell r="C30">
            <v>30</v>
          </cell>
          <cell r="E30">
            <v>73</v>
          </cell>
          <cell r="F30">
            <v>77</v>
          </cell>
        </row>
        <row r="31">
          <cell r="A31">
            <v>44774</v>
          </cell>
          <cell r="B31">
            <v>13</v>
          </cell>
          <cell r="C31">
            <v>31</v>
          </cell>
          <cell r="E31">
            <v>85</v>
          </cell>
          <cell r="F31">
            <v>148</v>
          </cell>
        </row>
        <row r="32">
          <cell r="A32">
            <v>44775</v>
          </cell>
          <cell r="B32">
            <v>25</v>
          </cell>
          <cell r="C32">
            <v>31</v>
          </cell>
          <cell r="E32">
            <v>85</v>
          </cell>
          <cell r="F32">
            <v>148</v>
          </cell>
        </row>
        <row r="33">
          <cell r="A33">
            <v>44776</v>
          </cell>
          <cell r="B33">
            <v>26</v>
          </cell>
          <cell r="C33">
            <v>31</v>
          </cell>
          <cell r="E33">
            <v>85</v>
          </cell>
          <cell r="F33">
            <v>148</v>
          </cell>
        </row>
        <row r="34">
          <cell r="A34">
            <v>44777</v>
          </cell>
          <cell r="B34">
            <v>26</v>
          </cell>
          <cell r="C34">
            <v>31</v>
          </cell>
          <cell r="E34">
            <v>85</v>
          </cell>
          <cell r="F34">
            <v>148</v>
          </cell>
        </row>
        <row r="35">
          <cell r="A35">
            <v>44778</v>
          </cell>
          <cell r="B35">
            <v>27</v>
          </cell>
          <cell r="C35">
            <v>31</v>
          </cell>
          <cell r="E35">
            <v>85</v>
          </cell>
          <cell r="F35">
            <v>148</v>
          </cell>
        </row>
        <row r="36">
          <cell r="A36">
            <v>44779</v>
          </cell>
          <cell r="B36">
            <v>30</v>
          </cell>
          <cell r="C36">
            <v>31</v>
          </cell>
          <cell r="E36">
            <v>85</v>
          </cell>
          <cell r="F36">
            <v>148</v>
          </cell>
        </row>
        <row r="37">
          <cell r="A37">
            <v>44780</v>
          </cell>
          <cell r="B37">
            <v>24</v>
          </cell>
          <cell r="C37">
            <v>31</v>
          </cell>
          <cell r="E37">
            <v>85</v>
          </cell>
          <cell r="F37">
            <v>148</v>
          </cell>
        </row>
        <row r="38">
          <cell r="A38">
            <v>44781</v>
          </cell>
          <cell r="B38">
            <v>26</v>
          </cell>
          <cell r="C38">
            <v>32</v>
          </cell>
          <cell r="E38">
            <v>79</v>
          </cell>
          <cell r="F38">
            <v>148</v>
          </cell>
        </row>
        <row r="39">
          <cell r="A39">
            <v>44782</v>
          </cell>
          <cell r="B39">
            <v>23</v>
          </cell>
          <cell r="C39">
            <v>32</v>
          </cell>
          <cell r="E39">
            <v>79</v>
          </cell>
          <cell r="F39">
            <v>148</v>
          </cell>
        </row>
        <row r="40">
          <cell r="A40">
            <v>44783</v>
          </cell>
          <cell r="B40">
            <v>24</v>
          </cell>
          <cell r="C40">
            <v>32</v>
          </cell>
          <cell r="E40">
            <v>79</v>
          </cell>
          <cell r="F40">
            <v>148</v>
          </cell>
        </row>
        <row r="41">
          <cell r="A41">
            <v>44784</v>
          </cell>
          <cell r="B41">
            <v>31</v>
          </cell>
          <cell r="C41">
            <v>32</v>
          </cell>
          <cell r="E41">
            <v>79</v>
          </cell>
          <cell r="F41">
            <v>148</v>
          </cell>
        </row>
        <row r="42">
          <cell r="A42">
            <v>44785</v>
          </cell>
          <cell r="B42">
            <v>30</v>
          </cell>
          <cell r="C42">
            <v>32</v>
          </cell>
          <cell r="E42">
            <v>79</v>
          </cell>
          <cell r="F42">
            <v>148</v>
          </cell>
        </row>
        <row r="43">
          <cell r="A43">
            <v>44786</v>
          </cell>
          <cell r="B43">
            <v>25</v>
          </cell>
          <cell r="C43">
            <v>32</v>
          </cell>
          <cell r="E43">
            <v>79</v>
          </cell>
          <cell r="F43">
            <v>148</v>
          </cell>
        </row>
        <row r="44">
          <cell r="A44">
            <v>44787</v>
          </cell>
          <cell r="B44">
            <v>21</v>
          </cell>
          <cell r="C44">
            <v>32</v>
          </cell>
          <cell r="E44">
            <v>79</v>
          </cell>
          <cell r="F44">
            <v>148</v>
          </cell>
        </row>
        <row r="45">
          <cell r="A45">
            <v>44788</v>
          </cell>
          <cell r="B45">
            <v>22</v>
          </cell>
          <cell r="C45">
            <v>33</v>
          </cell>
          <cell r="E45">
            <v>88</v>
          </cell>
          <cell r="F45">
            <v>148</v>
          </cell>
        </row>
        <row r="46">
          <cell r="A46">
            <v>44789</v>
          </cell>
          <cell r="B46">
            <v>23</v>
          </cell>
          <cell r="C46">
            <v>33</v>
          </cell>
          <cell r="E46">
            <v>88</v>
          </cell>
          <cell r="F46">
            <v>148</v>
          </cell>
        </row>
        <row r="47">
          <cell r="A47">
            <v>44790</v>
          </cell>
          <cell r="B47">
            <v>23</v>
          </cell>
          <cell r="C47">
            <v>33</v>
          </cell>
          <cell r="E47">
            <v>88</v>
          </cell>
          <cell r="F47">
            <v>148</v>
          </cell>
        </row>
        <row r="48">
          <cell r="A48">
            <v>44791</v>
          </cell>
          <cell r="B48">
            <v>26</v>
          </cell>
          <cell r="C48">
            <v>33</v>
          </cell>
          <cell r="E48">
            <v>88</v>
          </cell>
          <cell r="F48">
            <v>148</v>
          </cell>
        </row>
        <row r="49">
          <cell r="A49">
            <v>44792</v>
          </cell>
          <cell r="B49">
            <v>32</v>
          </cell>
          <cell r="C49">
            <v>33</v>
          </cell>
          <cell r="E49">
            <v>88</v>
          </cell>
          <cell r="F49">
            <v>148</v>
          </cell>
        </row>
        <row r="50">
          <cell r="A50">
            <v>44793</v>
          </cell>
          <cell r="B50">
            <v>31</v>
          </cell>
          <cell r="C50">
            <v>33</v>
          </cell>
          <cell r="E50">
            <v>88</v>
          </cell>
          <cell r="F50">
            <v>148</v>
          </cell>
        </row>
        <row r="51">
          <cell r="A51">
            <v>44794</v>
          </cell>
          <cell r="B51">
            <v>30</v>
          </cell>
          <cell r="C51">
            <v>33</v>
          </cell>
          <cell r="E51">
            <v>88</v>
          </cell>
          <cell r="F51">
            <v>148</v>
          </cell>
        </row>
        <row r="52">
          <cell r="A52">
            <v>44795</v>
          </cell>
          <cell r="B52">
            <v>19</v>
          </cell>
          <cell r="C52">
            <v>34</v>
          </cell>
          <cell r="E52">
            <v>88</v>
          </cell>
          <cell r="F52">
            <v>148</v>
          </cell>
        </row>
        <row r="53">
          <cell r="A53">
            <v>44796</v>
          </cell>
          <cell r="B53">
            <v>28</v>
          </cell>
          <cell r="C53">
            <v>34</v>
          </cell>
          <cell r="E53">
            <v>88</v>
          </cell>
          <cell r="F53">
            <v>148</v>
          </cell>
        </row>
        <row r="54">
          <cell r="A54">
            <v>44797</v>
          </cell>
          <cell r="B54">
            <v>30</v>
          </cell>
          <cell r="C54">
            <v>34</v>
          </cell>
          <cell r="E54">
            <v>88</v>
          </cell>
          <cell r="F54">
            <v>148</v>
          </cell>
        </row>
        <row r="55">
          <cell r="A55">
            <v>44798</v>
          </cell>
          <cell r="B55">
            <v>27</v>
          </cell>
          <cell r="C55">
            <v>34</v>
          </cell>
          <cell r="E55">
            <v>88</v>
          </cell>
          <cell r="F55">
            <v>148</v>
          </cell>
        </row>
        <row r="56">
          <cell r="A56">
            <v>44799</v>
          </cell>
          <cell r="B56">
            <v>25</v>
          </cell>
          <cell r="C56">
            <v>34</v>
          </cell>
          <cell r="E56">
            <v>88</v>
          </cell>
          <cell r="F56">
            <v>148</v>
          </cell>
        </row>
        <row r="57">
          <cell r="A57">
            <v>44800</v>
          </cell>
          <cell r="B57">
            <v>30</v>
          </cell>
          <cell r="C57">
            <v>34</v>
          </cell>
          <cell r="E57">
            <v>88</v>
          </cell>
          <cell r="F57">
            <v>148</v>
          </cell>
        </row>
        <row r="58">
          <cell r="A58">
            <v>44801</v>
          </cell>
          <cell r="B58">
            <v>26</v>
          </cell>
          <cell r="C58">
            <v>34</v>
          </cell>
          <cell r="E58">
            <v>88</v>
          </cell>
          <cell r="F58">
            <v>148</v>
          </cell>
        </row>
        <row r="59">
          <cell r="A59">
            <v>44802</v>
          </cell>
          <cell r="B59">
            <v>21</v>
          </cell>
          <cell r="C59">
            <v>35</v>
          </cell>
          <cell r="E59">
            <v>74</v>
          </cell>
          <cell r="F59">
            <v>148</v>
          </cell>
        </row>
        <row r="60">
          <cell r="A60">
            <v>44803</v>
          </cell>
          <cell r="B60">
            <v>26</v>
          </cell>
          <cell r="C60">
            <v>35</v>
          </cell>
          <cell r="E60">
            <v>74</v>
          </cell>
          <cell r="F60">
            <v>148</v>
          </cell>
        </row>
        <row r="61">
          <cell r="A61">
            <v>44804</v>
          </cell>
          <cell r="B61">
            <v>21</v>
          </cell>
          <cell r="C61">
            <v>35</v>
          </cell>
          <cell r="E61">
            <v>74</v>
          </cell>
          <cell r="F61">
            <v>148</v>
          </cell>
        </row>
        <row r="62">
          <cell r="A62">
            <v>44805</v>
          </cell>
          <cell r="B62">
            <v>24</v>
          </cell>
          <cell r="C62">
            <v>35</v>
          </cell>
          <cell r="E62">
            <v>74</v>
          </cell>
          <cell r="F62">
            <v>142</v>
          </cell>
        </row>
        <row r="63">
          <cell r="A63">
            <v>44806</v>
          </cell>
          <cell r="B63">
            <v>27</v>
          </cell>
          <cell r="C63">
            <v>35</v>
          </cell>
          <cell r="E63">
            <v>74</v>
          </cell>
          <cell r="F63">
            <v>142</v>
          </cell>
        </row>
        <row r="64">
          <cell r="A64">
            <v>44807</v>
          </cell>
          <cell r="B64">
            <v>23</v>
          </cell>
          <cell r="C64">
            <v>35</v>
          </cell>
          <cell r="E64">
            <v>74</v>
          </cell>
          <cell r="F64">
            <v>142</v>
          </cell>
        </row>
        <row r="65">
          <cell r="A65">
            <v>44808</v>
          </cell>
          <cell r="B65">
            <v>24</v>
          </cell>
          <cell r="C65">
            <v>35</v>
          </cell>
          <cell r="E65">
            <v>74</v>
          </cell>
          <cell r="F65">
            <v>142</v>
          </cell>
        </row>
        <row r="66">
          <cell r="A66">
            <v>44809</v>
          </cell>
          <cell r="B66">
            <v>18</v>
          </cell>
          <cell r="C66">
            <v>36</v>
          </cell>
          <cell r="E66">
            <v>76</v>
          </cell>
          <cell r="F66">
            <v>142</v>
          </cell>
        </row>
        <row r="67">
          <cell r="A67">
            <v>44810</v>
          </cell>
          <cell r="B67">
            <v>18</v>
          </cell>
          <cell r="C67">
            <v>36</v>
          </cell>
          <cell r="E67">
            <v>76</v>
          </cell>
          <cell r="F67">
            <v>142</v>
          </cell>
        </row>
        <row r="68">
          <cell r="A68">
            <v>44811</v>
          </cell>
          <cell r="B68">
            <v>17</v>
          </cell>
          <cell r="C68">
            <v>36</v>
          </cell>
          <cell r="E68">
            <v>76</v>
          </cell>
          <cell r="F68">
            <v>142</v>
          </cell>
        </row>
        <row r="69">
          <cell r="A69">
            <v>44812</v>
          </cell>
          <cell r="B69">
            <v>24</v>
          </cell>
          <cell r="C69">
            <v>36</v>
          </cell>
          <cell r="E69">
            <v>76</v>
          </cell>
          <cell r="F69">
            <v>142</v>
          </cell>
        </row>
        <row r="70">
          <cell r="A70">
            <v>44813</v>
          </cell>
          <cell r="B70">
            <v>33</v>
          </cell>
          <cell r="C70">
            <v>36</v>
          </cell>
          <cell r="E70">
            <v>76</v>
          </cell>
          <cell r="F70">
            <v>142</v>
          </cell>
        </row>
        <row r="71">
          <cell r="A71">
            <v>44814</v>
          </cell>
          <cell r="B71">
            <v>19</v>
          </cell>
          <cell r="C71">
            <v>36</v>
          </cell>
          <cell r="E71">
            <v>76</v>
          </cell>
          <cell r="F71">
            <v>142</v>
          </cell>
        </row>
        <row r="72">
          <cell r="A72">
            <v>44815</v>
          </cell>
          <cell r="B72">
            <v>24</v>
          </cell>
          <cell r="C72">
            <v>36</v>
          </cell>
          <cell r="E72">
            <v>76</v>
          </cell>
          <cell r="F72">
            <v>142</v>
          </cell>
        </row>
        <row r="73">
          <cell r="A73">
            <v>44816</v>
          </cell>
          <cell r="B73">
            <v>22</v>
          </cell>
          <cell r="C73">
            <v>37</v>
          </cell>
          <cell r="E73">
            <v>77</v>
          </cell>
          <cell r="F73">
            <v>142</v>
          </cell>
        </row>
        <row r="74">
          <cell r="A74">
            <v>44817</v>
          </cell>
          <cell r="B74">
            <v>25</v>
          </cell>
          <cell r="C74">
            <v>37</v>
          </cell>
          <cell r="E74">
            <v>77</v>
          </cell>
          <cell r="F74">
            <v>142</v>
          </cell>
        </row>
        <row r="75">
          <cell r="A75">
            <v>44818</v>
          </cell>
          <cell r="B75">
            <v>19</v>
          </cell>
          <cell r="C75">
            <v>37</v>
          </cell>
          <cell r="E75">
            <v>77</v>
          </cell>
          <cell r="F75">
            <v>142</v>
          </cell>
        </row>
        <row r="76">
          <cell r="A76">
            <v>44819</v>
          </cell>
          <cell r="B76">
            <v>29</v>
          </cell>
          <cell r="C76">
            <v>37</v>
          </cell>
          <cell r="E76">
            <v>77</v>
          </cell>
          <cell r="F76">
            <v>142</v>
          </cell>
        </row>
        <row r="77">
          <cell r="A77">
            <v>44820</v>
          </cell>
          <cell r="B77">
            <v>32</v>
          </cell>
          <cell r="C77">
            <v>37</v>
          </cell>
          <cell r="E77">
            <v>77</v>
          </cell>
          <cell r="F77">
            <v>142</v>
          </cell>
        </row>
        <row r="78">
          <cell r="A78">
            <v>44821</v>
          </cell>
          <cell r="B78">
            <v>24</v>
          </cell>
          <cell r="C78">
            <v>37</v>
          </cell>
          <cell r="E78">
            <v>77</v>
          </cell>
          <cell r="F78">
            <v>142</v>
          </cell>
        </row>
        <row r="79">
          <cell r="A79">
            <v>44822</v>
          </cell>
          <cell r="B79">
            <v>25</v>
          </cell>
          <cell r="C79">
            <v>37</v>
          </cell>
          <cell r="E79">
            <v>77</v>
          </cell>
          <cell r="F79">
            <v>142</v>
          </cell>
        </row>
        <row r="80">
          <cell r="A80">
            <v>44823</v>
          </cell>
          <cell r="B80">
            <v>25</v>
          </cell>
          <cell r="C80">
            <v>38</v>
          </cell>
          <cell r="E80">
            <v>78</v>
          </cell>
          <cell r="F80">
            <v>142</v>
          </cell>
        </row>
        <row r="81">
          <cell r="A81">
            <v>44824</v>
          </cell>
          <cell r="B81">
            <v>29</v>
          </cell>
          <cell r="C81">
            <v>38</v>
          </cell>
          <cell r="E81">
            <v>78</v>
          </cell>
          <cell r="F81">
            <v>142</v>
          </cell>
        </row>
        <row r="82">
          <cell r="A82">
            <v>44825</v>
          </cell>
          <cell r="B82">
            <v>30</v>
          </cell>
          <cell r="C82">
            <v>38</v>
          </cell>
          <cell r="E82">
            <v>78</v>
          </cell>
          <cell r="F82">
            <v>142</v>
          </cell>
        </row>
        <row r="83">
          <cell r="A83">
            <v>44826</v>
          </cell>
          <cell r="B83">
            <v>23</v>
          </cell>
          <cell r="C83">
            <v>38</v>
          </cell>
          <cell r="E83">
            <v>78</v>
          </cell>
          <cell r="F83">
            <v>142</v>
          </cell>
        </row>
        <row r="84">
          <cell r="A84">
            <v>44827</v>
          </cell>
          <cell r="B84">
            <v>19</v>
          </cell>
          <cell r="C84">
            <v>38</v>
          </cell>
          <cell r="E84">
            <v>78</v>
          </cell>
          <cell r="F84">
            <v>142</v>
          </cell>
        </row>
        <row r="85">
          <cell r="A85">
            <v>44828</v>
          </cell>
          <cell r="B85">
            <v>18</v>
          </cell>
          <cell r="C85">
            <v>38</v>
          </cell>
          <cell r="E85">
            <v>78</v>
          </cell>
          <cell r="F85">
            <v>142</v>
          </cell>
        </row>
        <row r="86">
          <cell r="A86">
            <v>44829</v>
          </cell>
          <cell r="B86">
            <v>30</v>
          </cell>
          <cell r="C86">
            <v>38</v>
          </cell>
          <cell r="E86">
            <v>78</v>
          </cell>
          <cell r="F86">
            <v>142</v>
          </cell>
        </row>
        <row r="87">
          <cell r="A87">
            <v>44830</v>
          </cell>
          <cell r="B87">
            <v>22</v>
          </cell>
          <cell r="C87">
            <v>39</v>
          </cell>
          <cell r="E87">
            <v>69</v>
          </cell>
          <cell r="F87">
            <v>142</v>
          </cell>
        </row>
        <row r="88">
          <cell r="A88">
            <v>44831</v>
          </cell>
          <cell r="B88">
            <v>21</v>
          </cell>
          <cell r="C88">
            <v>39</v>
          </cell>
          <cell r="E88">
            <v>69</v>
          </cell>
          <cell r="F88">
            <v>142</v>
          </cell>
        </row>
        <row r="89">
          <cell r="A89">
            <v>44832</v>
          </cell>
          <cell r="B89">
            <v>20</v>
          </cell>
          <cell r="C89">
            <v>39</v>
          </cell>
          <cell r="E89">
            <v>69</v>
          </cell>
          <cell r="F89">
            <v>142</v>
          </cell>
        </row>
        <row r="90">
          <cell r="A90">
            <v>44833</v>
          </cell>
          <cell r="B90">
            <v>17</v>
          </cell>
          <cell r="C90">
            <v>39</v>
          </cell>
          <cell r="E90">
            <v>69</v>
          </cell>
          <cell r="F90">
            <v>142</v>
          </cell>
        </row>
        <row r="91">
          <cell r="A91">
            <v>44834</v>
          </cell>
          <cell r="B91">
            <v>16</v>
          </cell>
          <cell r="C91">
            <v>39</v>
          </cell>
          <cell r="E91">
            <v>69</v>
          </cell>
          <cell r="F91">
            <v>142</v>
          </cell>
        </row>
        <row r="92">
          <cell r="A92">
            <v>44835</v>
          </cell>
          <cell r="B92">
            <v>22</v>
          </cell>
          <cell r="C92">
            <v>39</v>
          </cell>
          <cell r="E92">
            <v>69</v>
          </cell>
          <cell r="F92">
            <v>133</v>
          </cell>
        </row>
        <row r="93">
          <cell r="A93">
            <v>44836</v>
          </cell>
          <cell r="B93">
            <v>15</v>
          </cell>
          <cell r="C93">
            <v>39</v>
          </cell>
          <cell r="E93">
            <v>69</v>
          </cell>
          <cell r="F93">
            <v>133</v>
          </cell>
        </row>
        <row r="94">
          <cell r="A94">
            <v>44837</v>
          </cell>
          <cell r="B94">
            <v>20</v>
          </cell>
          <cell r="C94">
            <v>40</v>
          </cell>
          <cell r="E94">
            <v>66</v>
          </cell>
          <cell r="F94">
            <v>133</v>
          </cell>
        </row>
        <row r="95">
          <cell r="A95">
            <v>44838</v>
          </cell>
          <cell r="B95">
            <v>25</v>
          </cell>
          <cell r="C95">
            <v>40</v>
          </cell>
          <cell r="E95">
            <v>66</v>
          </cell>
          <cell r="F95">
            <v>133</v>
          </cell>
        </row>
        <row r="96">
          <cell r="A96">
            <v>44839</v>
          </cell>
          <cell r="B96">
            <v>18</v>
          </cell>
          <cell r="C96">
            <v>40</v>
          </cell>
          <cell r="E96">
            <v>66</v>
          </cell>
          <cell r="F96">
            <v>133</v>
          </cell>
        </row>
        <row r="97">
          <cell r="A97">
            <v>44840</v>
          </cell>
          <cell r="B97">
            <v>27</v>
          </cell>
          <cell r="C97">
            <v>40</v>
          </cell>
          <cell r="E97">
            <v>66</v>
          </cell>
          <cell r="F97">
            <v>133</v>
          </cell>
        </row>
        <row r="98">
          <cell r="A98">
            <v>44841</v>
          </cell>
          <cell r="B98">
            <v>22</v>
          </cell>
          <cell r="C98">
            <v>40</v>
          </cell>
          <cell r="E98">
            <v>66</v>
          </cell>
          <cell r="F98">
            <v>133</v>
          </cell>
        </row>
        <row r="99">
          <cell r="A99">
            <v>44842</v>
          </cell>
          <cell r="B99">
            <v>18</v>
          </cell>
          <cell r="C99">
            <v>40</v>
          </cell>
          <cell r="E99">
            <v>66</v>
          </cell>
          <cell r="F99">
            <v>133</v>
          </cell>
        </row>
        <row r="100">
          <cell r="A100">
            <v>44843</v>
          </cell>
          <cell r="B100">
            <v>20</v>
          </cell>
          <cell r="C100">
            <v>40</v>
          </cell>
          <cell r="E100">
            <v>66</v>
          </cell>
          <cell r="F100">
            <v>133</v>
          </cell>
        </row>
        <row r="101">
          <cell r="A101">
            <v>44844</v>
          </cell>
          <cell r="B101">
            <v>17</v>
          </cell>
          <cell r="C101">
            <v>41</v>
          </cell>
          <cell r="E101">
            <v>71</v>
          </cell>
          <cell r="F101">
            <v>133</v>
          </cell>
        </row>
        <row r="102">
          <cell r="A102">
            <v>44845</v>
          </cell>
          <cell r="B102">
            <v>24</v>
          </cell>
          <cell r="C102">
            <v>41</v>
          </cell>
          <cell r="E102">
            <v>71</v>
          </cell>
          <cell r="F102">
            <v>133</v>
          </cell>
        </row>
        <row r="103">
          <cell r="A103">
            <v>44846</v>
          </cell>
          <cell r="B103">
            <v>22</v>
          </cell>
          <cell r="C103">
            <v>41</v>
          </cell>
          <cell r="E103">
            <v>71</v>
          </cell>
          <cell r="F103">
            <v>133</v>
          </cell>
        </row>
        <row r="104">
          <cell r="A104">
            <v>44847</v>
          </cell>
          <cell r="B104">
            <v>19</v>
          </cell>
          <cell r="C104">
            <v>41</v>
          </cell>
          <cell r="E104">
            <v>71</v>
          </cell>
          <cell r="F104">
            <v>133</v>
          </cell>
        </row>
        <row r="105">
          <cell r="A105">
            <v>44848</v>
          </cell>
          <cell r="B105">
            <v>26</v>
          </cell>
          <cell r="C105">
            <v>41</v>
          </cell>
          <cell r="E105">
            <v>71</v>
          </cell>
          <cell r="F105">
            <v>133</v>
          </cell>
        </row>
        <row r="106">
          <cell r="A106">
            <v>44849</v>
          </cell>
          <cell r="B106">
            <v>22</v>
          </cell>
          <cell r="C106">
            <v>41</v>
          </cell>
          <cell r="E106">
            <v>71</v>
          </cell>
          <cell r="F106">
            <v>133</v>
          </cell>
        </row>
        <row r="107">
          <cell r="A107">
            <v>44850</v>
          </cell>
          <cell r="B107">
            <v>24</v>
          </cell>
          <cell r="C107">
            <v>41</v>
          </cell>
          <cell r="E107">
            <v>71</v>
          </cell>
          <cell r="F107">
            <v>133</v>
          </cell>
        </row>
        <row r="108">
          <cell r="A108">
            <v>44851</v>
          </cell>
          <cell r="B108">
            <v>20</v>
          </cell>
          <cell r="C108">
            <v>42</v>
          </cell>
          <cell r="E108">
            <v>63</v>
          </cell>
          <cell r="F108">
            <v>133</v>
          </cell>
        </row>
        <row r="109">
          <cell r="A109">
            <v>44852</v>
          </cell>
          <cell r="B109">
            <v>16</v>
          </cell>
          <cell r="C109">
            <v>42</v>
          </cell>
          <cell r="E109">
            <v>63</v>
          </cell>
          <cell r="F109">
            <v>133</v>
          </cell>
        </row>
        <row r="110">
          <cell r="A110">
            <v>44853</v>
          </cell>
          <cell r="B110">
            <v>25</v>
          </cell>
          <cell r="C110">
            <v>42</v>
          </cell>
          <cell r="E110">
            <v>63</v>
          </cell>
          <cell r="F110">
            <v>133</v>
          </cell>
        </row>
        <row r="111">
          <cell r="A111">
            <v>44854</v>
          </cell>
          <cell r="B111">
            <v>15</v>
          </cell>
          <cell r="C111">
            <v>42</v>
          </cell>
          <cell r="E111">
            <v>63</v>
          </cell>
          <cell r="F111">
            <v>133</v>
          </cell>
        </row>
        <row r="112">
          <cell r="A112">
            <v>44855</v>
          </cell>
          <cell r="B112">
            <v>21</v>
          </cell>
          <cell r="C112">
            <v>42</v>
          </cell>
          <cell r="E112">
            <v>63</v>
          </cell>
          <cell r="F112">
            <v>133</v>
          </cell>
        </row>
        <row r="113">
          <cell r="A113">
            <v>44856</v>
          </cell>
          <cell r="B113">
            <v>21</v>
          </cell>
          <cell r="C113">
            <v>42</v>
          </cell>
          <cell r="E113">
            <v>63</v>
          </cell>
          <cell r="F113">
            <v>133</v>
          </cell>
        </row>
        <row r="114">
          <cell r="A114">
            <v>44857</v>
          </cell>
          <cell r="B114">
            <v>16</v>
          </cell>
          <cell r="C114">
            <v>42</v>
          </cell>
          <cell r="E114">
            <v>63</v>
          </cell>
          <cell r="F114">
            <v>133</v>
          </cell>
        </row>
        <row r="115">
          <cell r="A115">
            <v>44858</v>
          </cell>
          <cell r="B115">
            <v>18</v>
          </cell>
          <cell r="C115">
            <v>43</v>
          </cell>
          <cell r="E115">
            <v>67</v>
          </cell>
          <cell r="F115">
            <v>133</v>
          </cell>
        </row>
        <row r="116">
          <cell r="A116">
            <v>44859</v>
          </cell>
          <cell r="B116">
            <v>20</v>
          </cell>
          <cell r="C116">
            <v>43</v>
          </cell>
          <cell r="E116">
            <v>67</v>
          </cell>
          <cell r="F116">
            <v>133</v>
          </cell>
        </row>
        <row r="117">
          <cell r="A117">
            <v>44860</v>
          </cell>
          <cell r="B117">
            <v>18</v>
          </cell>
          <cell r="C117">
            <v>43</v>
          </cell>
          <cell r="E117">
            <v>67</v>
          </cell>
          <cell r="F117">
            <v>133</v>
          </cell>
        </row>
        <row r="118">
          <cell r="A118">
            <v>44861</v>
          </cell>
          <cell r="B118">
            <v>20</v>
          </cell>
          <cell r="C118">
            <v>43</v>
          </cell>
          <cell r="E118">
            <v>67</v>
          </cell>
          <cell r="F118">
            <v>133</v>
          </cell>
        </row>
        <row r="119">
          <cell r="A119">
            <v>44862</v>
          </cell>
          <cell r="B119">
            <v>24</v>
          </cell>
          <cell r="C119">
            <v>43</v>
          </cell>
          <cell r="E119">
            <v>67</v>
          </cell>
          <cell r="F119">
            <v>133</v>
          </cell>
        </row>
        <row r="120">
          <cell r="A120">
            <v>44863</v>
          </cell>
          <cell r="B120">
            <v>18</v>
          </cell>
          <cell r="C120">
            <v>43</v>
          </cell>
          <cell r="E120">
            <v>67</v>
          </cell>
          <cell r="F120">
            <v>133</v>
          </cell>
        </row>
        <row r="121">
          <cell r="A121">
            <v>44864</v>
          </cell>
          <cell r="B121">
            <v>26</v>
          </cell>
          <cell r="C121">
            <v>43</v>
          </cell>
          <cell r="E121">
            <v>67</v>
          </cell>
          <cell r="F121">
            <v>133</v>
          </cell>
        </row>
        <row r="122">
          <cell r="A122">
            <v>44865</v>
          </cell>
          <cell r="B122">
            <v>24</v>
          </cell>
          <cell r="C122">
            <v>44</v>
          </cell>
          <cell r="E122">
            <v>71</v>
          </cell>
          <cell r="F122">
            <v>133</v>
          </cell>
        </row>
        <row r="123">
          <cell r="A123">
            <v>44866</v>
          </cell>
          <cell r="B123">
            <v>19</v>
          </cell>
          <cell r="C123">
            <v>44</v>
          </cell>
          <cell r="E123">
            <v>71</v>
          </cell>
          <cell r="F123">
            <v>158</v>
          </cell>
        </row>
        <row r="124">
          <cell r="A124">
            <v>44867</v>
          </cell>
          <cell r="B124">
            <v>15</v>
          </cell>
          <cell r="C124">
            <v>44</v>
          </cell>
          <cell r="E124">
            <v>71</v>
          </cell>
          <cell r="F124">
            <v>158</v>
          </cell>
        </row>
        <row r="125">
          <cell r="A125">
            <v>44868</v>
          </cell>
          <cell r="B125">
            <v>23</v>
          </cell>
          <cell r="C125">
            <v>44</v>
          </cell>
          <cell r="E125">
            <v>71</v>
          </cell>
          <cell r="F125">
            <v>158</v>
          </cell>
        </row>
        <row r="126">
          <cell r="A126">
            <v>44869</v>
          </cell>
          <cell r="B126">
            <v>19</v>
          </cell>
          <cell r="C126">
            <v>44</v>
          </cell>
          <cell r="E126">
            <v>71</v>
          </cell>
          <cell r="F126">
            <v>158</v>
          </cell>
        </row>
        <row r="127">
          <cell r="A127">
            <v>44870</v>
          </cell>
          <cell r="B127">
            <v>16</v>
          </cell>
          <cell r="C127">
            <v>44</v>
          </cell>
          <cell r="E127">
            <v>71</v>
          </cell>
          <cell r="F127">
            <v>158</v>
          </cell>
        </row>
        <row r="128">
          <cell r="A128">
            <v>44871</v>
          </cell>
          <cell r="B128">
            <v>18</v>
          </cell>
          <cell r="C128">
            <v>44</v>
          </cell>
          <cell r="E128">
            <v>71</v>
          </cell>
          <cell r="F128">
            <v>158</v>
          </cell>
        </row>
        <row r="129">
          <cell r="A129">
            <v>44872</v>
          </cell>
          <cell r="B129">
            <v>18</v>
          </cell>
          <cell r="C129">
            <v>45</v>
          </cell>
          <cell r="E129">
            <v>74</v>
          </cell>
          <cell r="F129">
            <v>158</v>
          </cell>
        </row>
        <row r="130">
          <cell r="A130">
            <v>44873</v>
          </cell>
          <cell r="B130">
            <v>23</v>
          </cell>
          <cell r="C130">
            <v>45</v>
          </cell>
          <cell r="E130">
            <v>74</v>
          </cell>
          <cell r="F130">
            <v>158</v>
          </cell>
        </row>
        <row r="131">
          <cell r="A131">
            <v>44874</v>
          </cell>
          <cell r="B131">
            <v>22</v>
          </cell>
          <cell r="C131">
            <v>45</v>
          </cell>
          <cell r="E131">
            <v>74</v>
          </cell>
          <cell r="F131">
            <v>158</v>
          </cell>
        </row>
        <row r="132">
          <cell r="A132">
            <v>44875</v>
          </cell>
          <cell r="B132">
            <v>25</v>
          </cell>
          <cell r="C132">
            <v>45</v>
          </cell>
          <cell r="E132">
            <v>74</v>
          </cell>
          <cell r="F132">
            <v>158</v>
          </cell>
        </row>
        <row r="133">
          <cell r="A133">
            <v>44876</v>
          </cell>
          <cell r="B133">
            <v>19</v>
          </cell>
          <cell r="C133">
            <v>45</v>
          </cell>
          <cell r="E133">
            <v>74</v>
          </cell>
          <cell r="F133">
            <v>158</v>
          </cell>
        </row>
        <row r="134">
          <cell r="A134">
            <v>44877</v>
          </cell>
          <cell r="B134">
            <v>19</v>
          </cell>
          <cell r="C134">
            <v>45</v>
          </cell>
          <cell r="E134">
            <v>74</v>
          </cell>
          <cell r="F134">
            <v>158</v>
          </cell>
        </row>
        <row r="135">
          <cell r="A135">
            <v>44878</v>
          </cell>
          <cell r="B135">
            <v>15</v>
          </cell>
          <cell r="C135">
            <v>45</v>
          </cell>
          <cell r="E135">
            <v>74</v>
          </cell>
          <cell r="F135">
            <v>158</v>
          </cell>
        </row>
        <row r="136">
          <cell r="A136">
            <v>44879</v>
          </cell>
          <cell r="B136">
            <v>14</v>
          </cell>
          <cell r="C136">
            <v>46</v>
          </cell>
          <cell r="E136">
            <v>72</v>
          </cell>
          <cell r="F136">
            <v>158</v>
          </cell>
        </row>
        <row r="137">
          <cell r="A137">
            <v>44880</v>
          </cell>
          <cell r="B137">
            <v>16</v>
          </cell>
          <cell r="C137">
            <v>46</v>
          </cell>
          <cell r="E137">
            <v>72</v>
          </cell>
          <cell r="F137">
            <v>158</v>
          </cell>
        </row>
        <row r="138">
          <cell r="A138">
            <v>44881</v>
          </cell>
          <cell r="B138">
            <v>14</v>
          </cell>
          <cell r="C138">
            <v>46</v>
          </cell>
          <cell r="E138">
            <v>72</v>
          </cell>
          <cell r="F138">
            <v>158</v>
          </cell>
        </row>
        <row r="139">
          <cell r="A139">
            <v>44882</v>
          </cell>
          <cell r="B139">
            <v>17</v>
          </cell>
          <cell r="C139">
            <v>46</v>
          </cell>
          <cell r="E139">
            <v>72</v>
          </cell>
          <cell r="F139">
            <v>158</v>
          </cell>
        </row>
        <row r="140">
          <cell r="A140">
            <v>44883</v>
          </cell>
          <cell r="B140">
            <v>20</v>
          </cell>
          <cell r="C140">
            <v>46</v>
          </cell>
          <cell r="E140">
            <v>72</v>
          </cell>
          <cell r="F140">
            <v>158</v>
          </cell>
        </row>
        <row r="141">
          <cell r="A141">
            <v>44884</v>
          </cell>
          <cell r="B141">
            <v>13</v>
          </cell>
          <cell r="C141">
            <v>46</v>
          </cell>
          <cell r="E141">
            <v>72</v>
          </cell>
          <cell r="F141">
            <v>158</v>
          </cell>
        </row>
        <row r="142">
          <cell r="A142">
            <v>44885</v>
          </cell>
          <cell r="B142">
            <v>21</v>
          </cell>
          <cell r="C142">
            <v>46</v>
          </cell>
          <cell r="E142">
            <v>72</v>
          </cell>
          <cell r="F142">
            <v>158</v>
          </cell>
        </row>
        <row r="143">
          <cell r="A143">
            <v>44886</v>
          </cell>
          <cell r="B143">
            <v>9</v>
          </cell>
          <cell r="C143">
            <v>47</v>
          </cell>
          <cell r="E143">
            <v>65</v>
          </cell>
          <cell r="F143">
            <v>158</v>
          </cell>
        </row>
        <row r="144">
          <cell r="A144">
            <v>44887</v>
          </cell>
          <cell r="B144">
            <v>16</v>
          </cell>
          <cell r="C144">
            <v>47</v>
          </cell>
          <cell r="E144">
            <v>65</v>
          </cell>
          <cell r="F144">
            <v>158</v>
          </cell>
        </row>
        <row r="145">
          <cell r="A145">
            <v>44888</v>
          </cell>
          <cell r="B145">
            <v>18</v>
          </cell>
          <cell r="C145">
            <v>47</v>
          </cell>
          <cell r="E145">
            <v>65</v>
          </cell>
          <cell r="F145">
            <v>158</v>
          </cell>
        </row>
        <row r="146">
          <cell r="A146">
            <v>44889</v>
          </cell>
          <cell r="B146">
            <v>10</v>
          </cell>
          <cell r="C146">
            <v>47</v>
          </cell>
          <cell r="E146">
            <v>65</v>
          </cell>
          <cell r="F146">
            <v>158</v>
          </cell>
        </row>
        <row r="147">
          <cell r="A147">
            <v>44890</v>
          </cell>
          <cell r="B147">
            <v>15</v>
          </cell>
          <cell r="C147">
            <v>47</v>
          </cell>
          <cell r="E147">
            <v>65</v>
          </cell>
          <cell r="F147">
            <v>158</v>
          </cell>
        </row>
        <row r="148">
          <cell r="A148">
            <v>44891</v>
          </cell>
          <cell r="B148">
            <v>12</v>
          </cell>
          <cell r="C148">
            <v>47</v>
          </cell>
          <cell r="E148">
            <v>65</v>
          </cell>
          <cell r="F148">
            <v>158</v>
          </cell>
        </row>
        <row r="149">
          <cell r="A149">
            <v>44892</v>
          </cell>
          <cell r="B149">
            <v>12</v>
          </cell>
          <cell r="C149">
            <v>47</v>
          </cell>
          <cell r="E149">
            <v>65</v>
          </cell>
          <cell r="F149">
            <v>158</v>
          </cell>
        </row>
        <row r="150">
          <cell r="A150">
            <v>44893</v>
          </cell>
          <cell r="B150">
            <v>14</v>
          </cell>
          <cell r="C150">
            <v>48</v>
          </cell>
          <cell r="E150">
            <v>55</v>
          </cell>
          <cell r="F150">
            <v>158</v>
          </cell>
        </row>
        <row r="151">
          <cell r="A151">
            <v>44894</v>
          </cell>
          <cell r="B151">
            <v>5</v>
          </cell>
          <cell r="C151">
            <v>48</v>
          </cell>
          <cell r="E151">
            <v>55</v>
          </cell>
          <cell r="F151">
            <v>158</v>
          </cell>
        </row>
        <row r="152">
          <cell r="A152">
            <v>44895</v>
          </cell>
          <cell r="B152">
            <v>8</v>
          </cell>
          <cell r="C152">
            <v>48</v>
          </cell>
          <cell r="E152">
            <v>55</v>
          </cell>
          <cell r="F152">
            <v>158</v>
          </cell>
        </row>
        <row r="153">
          <cell r="A153">
            <v>44896</v>
          </cell>
          <cell r="B153">
            <v>9</v>
          </cell>
          <cell r="C153">
            <v>48</v>
          </cell>
          <cell r="E153">
            <v>55</v>
          </cell>
          <cell r="F153">
            <v>154</v>
          </cell>
        </row>
        <row r="154">
          <cell r="A154">
            <v>44897</v>
          </cell>
          <cell r="B154">
            <v>11</v>
          </cell>
          <cell r="C154">
            <v>48</v>
          </cell>
          <cell r="E154">
            <v>55</v>
          </cell>
          <cell r="F154">
            <v>154</v>
          </cell>
        </row>
        <row r="155">
          <cell r="A155">
            <v>44898</v>
          </cell>
          <cell r="B155">
            <v>9</v>
          </cell>
          <cell r="C155">
            <v>48</v>
          </cell>
          <cell r="E155">
            <v>55</v>
          </cell>
          <cell r="F155">
            <v>154</v>
          </cell>
        </row>
        <row r="156">
          <cell r="A156">
            <v>44899</v>
          </cell>
          <cell r="B156">
            <v>13</v>
          </cell>
          <cell r="C156">
            <v>48</v>
          </cell>
          <cell r="E156">
            <v>55</v>
          </cell>
          <cell r="F156">
            <v>154</v>
          </cell>
        </row>
        <row r="157">
          <cell r="A157">
            <v>44900</v>
          </cell>
          <cell r="B157">
            <v>6</v>
          </cell>
          <cell r="C157">
            <v>49</v>
          </cell>
          <cell r="E157">
            <v>60</v>
          </cell>
          <cell r="F157">
            <v>154</v>
          </cell>
        </row>
        <row r="158">
          <cell r="A158">
            <v>44901</v>
          </cell>
          <cell r="B158">
            <v>16</v>
          </cell>
          <cell r="C158">
            <v>49</v>
          </cell>
          <cell r="E158">
            <v>60</v>
          </cell>
          <cell r="F158">
            <v>154</v>
          </cell>
        </row>
        <row r="159">
          <cell r="A159">
            <v>44902</v>
          </cell>
          <cell r="B159">
            <v>13</v>
          </cell>
          <cell r="C159">
            <v>49</v>
          </cell>
          <cell r="E159">
            <v>60</v>
          </cell>
          <cell r="F159">
            <v>154</v>
          </cell>
        </row>
        <row r="160">
          <cell r="A160">
            <v>44903</v>
          </cell>
          <cell r="B160">
            <v>11</v>
          </cell>
          <cell r="C160">
            <v>49</v>
          </cell>
          <cell r="E160">
            <v>60</v>
          </cell>
          <cell r="F160">
            <v>154</v>
          </cell>
        </row>
        <row r="161">
          <cell r="A161">
            <v>44904</v>
          </cell>
          <cell r="B161">
            <v>13</v>
          </cell>
          <cell r="C161">
            <v>49</v>
          </cell>
          <cell r="E161">
            <v>60</v>
          </cell>
          <cell r="F161">
            <v>154</v>
          </cell>
        </row>
        <row r="162">
          <cell r="A162">
            <v>44905</v>
          </cell>
          <cell r="B162">
            <v>6</v>
          </cell>
          <cell r="C162">
            <v>49</v>
          </cell>
          <cell r="E162">
            <v>60</v>
          </cell>
          <cell r="F162">
            <v>154</v>
          </cell>
        </row>
        <row r="163">
          <cell r="A163">
            <v>44906</v>
          </cell>
          <cell r="B163">
            <v>12</v>
          </cell>
          <cell r="C163">
            <v>49</v>
          </cell>
          <cell r="E163">
            <v>60</v>
          </cell>
          <cell r="F163">
            <v>154</v>
          </cell>
        </row>
        <row r="164">
          <cell r="A164">
            <v>44907</v>
          </cell>
          <cell r="B164">
            <v>12</v>
          </cell>
          <cell r="C164">
            <v>50</v>
          </cell>
          <cell r="E164">
            <v>55</v>
          </cell>
          <cell r="F164">
            <v>154</v>
          </cell>
        </row>
        <row r="165">
          <cell r="A165">
            <v>44908</v>
          </cell>
          <cell r="B165">
            <v>15</v>
          </cell>
          <cell r="C165">
            <v>50</v>
          </cell>
          <cell r="E165">
            <v>55</v>
          </cell>
          <cell r="F165">
            <v>154</v>
          </cell>
        </row>
        <row r="166">
          <cell r="A166">
            <v>44909</v>
          </cell>
          <cell r="B166">
            <v>7</v>
          </cell>
          <cell r="C166">
            <v>50</v>
          </cell>
          <cell r="E166">
            <v>55</v>
          </cell>
          <cell r="F166">
            <v>154</v>
          </cell>
        </row>
        <row r="167">
          <cell r="A167">
            <v>44910</v>
          </cell>
          <cell r="B167">
            <v>7</v>
          </cell>
          <cell r="C167">
            <v>50</v>
          </cell>
          <cell r="E167">
            <v>55</v>
          </cell>
          <cell r="F167">
            <v>154</v>
          </cell>
        </row>
        <row r="168">
          <cell r="A168">
            <v>44911</v>
          </cell>
          <cell r="B168">
            <v>8</v>
          </cell>
          <cell r="C168">
            <v>50</v>
          </cell>
          <cell r="E168">
            <v>55</v>
          </cell>
          <cell r="F168">
            <v>154</v>
          </cell>
        </row>
        <row r="169">
          <cell r="A169">
            <v>44912</v>
          </cell>
          <cell r="B169">
            <v>12</v>
          </cell>
          <cell r="C169">
            <v>50</v>
          </cell>
          <cell r="E169">
            <v>55</v>
          </cell>
          <cell r="F169">
            <v>154</v>
          </cell>
        </row>
        <row r="170">
          <cell r="A170">
            <v>44913</v>
          </cell>
          <cell r="B170">
            <v>8</v>
          </cell>
          <cell r="C170">
            <v>50</v>
          </cell>
          <cell r="E170">
            <v>55</v>
          </cell>
          <cell r="F170">
            <v>154</v>
          </cell>
        </row>
        <row r="171">
          <cell r="A171">
            <v>44914</v>
          </cell>
          <cell r="B171">
            <v>8</v>
          </cell>
          <cell r="C171">
            <v>51</v>
          </cell>
          <cell r="E171">
            <v>50</v>
          </cell>
          <cell r="F171">
            <v>154</v>
          </cell>
        </row>
        <row r="172">
          <cell r="A172">
            <v>44915</v>
          </cell>
          <cell r="B172">
            <v>9</v>
          </cell>
          <cell r="C172">
            <v>51</v>
          </cell>
          <cell r="E172">
            <v>50</v>
          </cell>
          <cell r="F172">
            <v>154</v>
          </cell>
        </row>
        <row r="173">
          <cell r="A173">
            <v>44916</v>
          </cell>
          <cell r="B173">
            <v>9</v>
          </cell>
          <cell r="C173">
            <v>51</v>
          </cell>
          <cell r="E173">
            <v>50</v>
          </cell>
          <cell r="F173">
            <v>154</v>
          </cell>
        </row>
        <row r="174">
          <cell r="A174">
            <v>44917</v>
          </cell>
          <cell r="B174">
            <v>12</v>
          </cell>
          <cell r="C174">
            <v>51</v>
          </cell>
          <cell r="E174">
            <v>50</v>
          </cell>
          <cell r="F174">
            <v>154</v>
          </cell>
        </row>
        <row r="175">
          <cell r="A175">
            <v>44918</v>
          </cell>
          <cell r="B175">
            <v>13</v>
          </cell>
          <cell r="C175">
            <v>51</v>
          </cell>
          <cell r="E175">
            <v>50</v>
          </cell>
          <cell r="F175">
            <v>154</v>
          </cell>
        </row>
        <row r="176">
          <cell r="A176">
            <v>44919</v>
          </cell>
          <cell r="B176">
            <v>10</v>
          </cell>
          <cell r="C176">
            <v>51</v>
          </cell>
          <cell r="E176">
            <v>50</v>
          </cell>
          <cell r="F176">
            <v>154</v>
          </cell>
        </row>
        <row r="177">
          <cell r="A177">
            <v>44920</v>
          </cell>
          <cell r="B177">
            <v>8</v>
          </cell>
          <cell r="C177">
            <v>51</v>
          </cell>
          <cell r="E177">
            <v>50</v>
          </cell>
          <cell r="F177">
            <v>154</v>
          </cell>
        </row>
        <row r="178">
          <cell r="A178">
            <v>44921</v>
          </cell>
          <cell r="B178">
            <v>9</v>
          </cell>
          <cell r="C178">
            <v>52</v>
          </cell>
          <cell r="E178">
            <v>56</v>
          </cell>
          <cell r="F178">
            <v>154</v>
          </cell>
        </row>
        <row r="179">
          <cell r="A179">
            <v>44922</v>
          </cell>
          <cell r="B179">
            <v>10</v>
          </cell>
          <cell r="C179">
            <v>52</v>
          </cell>
          <cell r="E179">
            <v>56</v>
          </cell>
          <cell r="F179">
            <v>154</v>
          </cell>
        </row>
        <row r="180">
          <cell r="A180">
            <v>44923</v>
          </cell>
          <cell r="B180">
            <v>10</v>
          </cell>
          <cell r="C180">
            <v>52</v>
          </cell>
          <cell r="E180">
            <v>56</v>
          </cell>
          <cell r="F180">
            <v>154</v>
          </cell>
        </row>
        <row r="181">
          <cell r="A181">
            <v>44924</v>
          </cell>
          <cell r="B181">
            <v>14</v>
          </cell>
          <cell r="C181">
            <v>52</v>
          </cell>
          <cell r="E181">
            <v>56</v>
          </cell>
          <cell r="F181">
            <v>154</v>
          </cell>
        </row>
        <row r="182">
          <cell r="A182">
            <v>44925</v>
          </cell>
          <cell r="B182">
            <v>10</v>
          </cell>
          <cell r="C182">
            <v>52</v>
          </cell>
          <cell r="E182">
            <v>56</v>
          </cell>
          <cell r="F182">
            <v>154</v>
          </cell>
        </row>
        <row r="183">
          <cell r="A183">
            <v>44926</v>
          </cell>
          <cell r="B183">
            <v>15</v>
          </cell>
          <cell r="C183">
            <v>52</v>
          </cell>
          <cell r="E183">
            <v>56</v>
          </cell>
          <cell r="F183">
            <v>154</v>
          </cell>
        </row>
        <row r="184">
          <cell r="A184">
            <v>44927</v>
          </cell>
          <cell r="B184">
            <v>12</v>
          </cell>
          <cell r="C184">
            <v>52</v>
          </cell>
          <cell r="E184">
            <v>56</v>
          </cell>
          <cell r="F184">
            <v>213</v>
          </cell>
        </row>
        <row r="185">
          <cell r="A185">
            <v>44928</v>
          </cell>
          <cell r="B185">
            <v>14</v>
          </cell>
          <cell r="C185">
            <v>1</v>
          </cell>
          <cell r="E185">
            <v>71</v>
          </cell>
          <cell r="F185">
            <v>213</v>
          </cell>
        </row>
        <row r="186">
          <cell r="A186">
            <v>44929</v>
          </cell>
          <cell r="B186">
            <v>17</v>
          </cell>
          <cell r="C186">
            <v>1</v>
          </cell>
          <cell r="E186">
            <v>71</v>
          </cell>
          <cell r="F186">
            <v>213</v>
          </cell>
        </row>
        <row r="187">
          <cell r="A187">
            <v>44930</v>
          </cell>
          <cell r="B187">
            <v>17</v>
          </cell>
          <cell r="C187">
            <v>1</v>
          </cell>
          <cell r="E187">
            <v>71</v>
          </cell>
          <cell r="F187">
            <v>213</v>
          </cell>
        </row>
        <row r="188">
          <cell r="A188">
            <v>44931</v>
          </cell>
          <cell r="B188">
            <v>16</v>
          </cell>
          <cell r="C188">
            <v>1</v>
          </cell>
          <cell r="E188">
            <v>71</v>
          </cell>
          <cell r="F188">
            <v>213</v>
          </cell>
        </row>
        <row r="189">
          <cell r="A189">
            <v>44932</v>
          </cell>
          <cell r="B189">
            <v>12</v>
          </cell>
          <cell r="C189">
            <v>1</v>
          </cell>
          <cell r="E189">
            <v>71</v>
          </cell>
          <cell r="F189">
            <v>213</v>
          </cell>
        </row>
        <row r="190">
          <cell r="A190">
            <v>44933</v>
          </cell>
          <cell r="B190">
            <v>9</v>
          </cell>
          <cell r="C190">
            <v>1</v>
          </cell>
          <cell r="E190">
            <v>71</v>
          </cell>
          <cell r="F190">
            <v>213</v>
          </cell>
        </row>
        <row r="191">
          <cell r="A191">
            <v>44934</v>
          </cell>
          <cell r="B191">
            <v>21</v>
          </cell>
          <cell r="C191">
            <v>1</v>
          </cell>
          <cell r="E191">
            <v>71</v>
          </cell>
          <cell r="F191">
            <v>213</v>
          </cell>
        </row>
        <row r="192">
          <cell r="A192">
            <v>44935</v>
          </cell>
          <cell r="B192">
            <v>14</v>
          </cell>
          <cell r="C192">
            <v>2</v>
          </cell>
          <cell r="E192">
            <v>86</v>
          </cell>
          <cell r="F192">
            <v>213</v>
          </cell>
        </row>
        <row r="193">
          <cell r="A193">
            <v>44936</v>
          </cell>
          <cell r="B193">
            <v>17</v>
          </cell>
          <cell r="C193">
            <v>2</v>
          </cell>
          <cell r="E193">
            <v>86</v>
          </cell>
          <cell r="F193">
            <v>213</v>
          </cell>
        </row>
        <row r="194">
          <cell r="A194">
            <v>44937</v>
          </cell>
          <cell r="B194">
            <v>27</v>
          </cell>
          <cell r="C194">
            <v>2</v>
          </cell>
          <cell r="E194">
            <v>86</v>
          </cell>
          <cell r="F194">
            <v>213</v>
          </cell>
        </row>
        <row r="195">
          <cell r="A195">
            <v>44938</v>
          </cell>
          <cell r="B195">
            <v>18</v>
          </cell>
          <cell r="C195">
            <v>2</v>
          </cell>
          <cell r="E195">
            <v>86</v>
          </cell>
          <cell r="F195">
            <v>213</v>
          </cell>
        </row>
        <row r="196">
          <cell r="A196">
            <v>44939</v>
          </cell>
          <cell r="B196">
            <v>24</v>
          </cell>
          <cell r="C196">
            <v>2</v>
          </cell>
          <cell r="E196">
            <v>86</v>
          </cell>
          <cell r="F196">
            <v>213</v>
          </cell>
        </row>
        <row r="197">
          <cell r="A197">
            <v>44940</v>
          </cell>
          <cell r="B197">
            <v>29</v>
          </cell>
          <cell r="C197">
            <v>2</v>
          </cell>
          <cell r="E197">
            <v>86</v>
          </cell>
          <cell r="F197">
            <v>213</v>
          </cell>
        </row>
        <row r="198">
          <cell r="A198">
            <v>44941</v>
          </cell>
          <cell r="B198">
            <v>26</v>
          </cell>
          <cell r="C198">
            <v>2</v>
          </cell>
          <cell r="E198">
            <v>86</v>
          </cell>
          <cell r="F198">
            <v>213</v>
          </cell>
        </row>
        <row r="199">
          <cell r="A199">
            <v>44942</v>
          </cell>
          <cell r="B199">
            <v>26</v>
          </cell>
          <cell r="C199">
            <v>3</v>
          </cell>
          <cell r="E199">
            <v>107</v>
          </cell>
          <cell r="F199">
            <v>213</v>
          </cell>
        </row>
        <row r="200">
          <cell r="A200">
            <v>44943</v>
          </cell>
          <cell r="B200">
            <v>32</v>
          </cell>
          <cell r="C200">
            <v>3</v>
          </cell>
          <cell r="E200">
            <v>107</v>
          </cell>
          <cell r="F200">
            <v>213</v>
          </cell>
        </row>
        <row r="201">
          <cell r="A201">
            <v>44944</v>
          </cell>
          <cell r="B201">
            <v>29</v>
          </cell>
          <cell r="C201">
            <v>3</v>
          </cell>
          <cell r="E201">
            <v>107</v>
          </cell>
          <cell r="F201">
            <v>213</v>
          </cell>
        </row>
        <row r="202">
          <cell r="A202">
            <v>44945</v>
          </cell>
          <cell r="B202">
            <v>25</v>
          </cell>
          <cell r="C202">
            <v>3</v>
          </cell>
          <cell r="E202">
            <v>107</v>
          </cell>
          <cell r="F202">
            <v>213</v>
          </cell>
        </row>
        <row r="203">
          <cell r="A203">
            <v>44946</v>
          </cell>
          <cell r="B203">
            <v>31</v>
          </cell>
          <cell r="C203">
            <v>3</v>
          </cell>
          <cell r="E203">
            <v>107</v>
          </cell>
          <cell r="F203">
            <v>213</v>
          </cell>
        </row>
        <row r="204">
          <cell r="A204">
            <v>44947</v>
          </cell>
          <cell r="B204">
            <v>25</v>
          </cell>
          <cell r="C204">
            <v>3</v>
          </cell>
          <cell r="E204">
            <v>107</v>
          </cell>
          <cell r="F204">
            <v>213</v>
          </cell>
        </row>
        <row r="205">
          <cell r="A205">
            <v>44948</v>
          </cell>
          <cell r="B205">
            <v>41</v>
          </cell>
          <cell r="C205">
            <v>3</v>
          </cell>
          <cell r="E205">
            <v>107</v>
          </cell>
          <cell r="F205">
            <v>213</v>
          </cell>
        </row>
        <row r="206">
          <cell r="A206">
            <v>44949</v>
          </cell>
          <cell r="B206">
            <v>31</v>
          </cell>
          <cell r="C206">
            <v>4</v>
          </cell>
          <cell r="E206">
            <v>110</v>
          </cell>
          <cell r="F206">
            <v>213</v>
          </cell>
        </row>
        <row r="207">
          <cell r="A207">
            <v>44950</v>
          </cell>
          <cell r="B207">
            <v>39</v>
          </cell>
          <cell r="C207">
            <v>4</v>
          </cell>
          <cell r="E207">
            <v>110</v>
          </cell>
          <cell r="F207">
            <v>213</v>
          </cell>
        </row>
        <row r="208">
          <cell r="A208">
            <v>44951</v>
          </cell>
          <cell r="B208">
            <v>42</v>
          </cell>
          <cell r="C208">
            <v>4</v>
          </cell>
          <cell r="E208">
            <v>110</v>
          </cell>
          <cell r="F208">
            <v>213</v>
          </cell>
        </row>
        <row r="209">
          <cell r="A209">
            <v>44952</v>
          </cell>
          <cell r="B209">
            <v>28</v>
          </cell>
          <cell r="C209">
            <v>4</v>
          </cell>
          <cell r="E209">
            <v>110</v>
          </cell>
          <cell r="F209">
            <v>213</v>
          </cell>
        </row>
        <row r="210">
          <cell r="A210">
            <v>44953</v>
          </cell>
          <cell r="B210">
            <v>29</v>
          </cell>
          <cell r="C210">
            <v>4</v>
          </cell>
          <cell r="E210">
            <v>110</v>
          </cell>
          <cell r="F210">
            <v>213</v>
          </cell>
        </row>
        <row r="211">
          <cell r="A211">
            <v>44954</v>
          </cell>
          <cell r="B211">
            <v>34</v>
          </cell>
          <cell r="C211">
            <v>4</v>
          </cell>
          <cell r="E211">
            <v>110</v>
          </cell>
          <cell r="F211">
            <v>213</v>
          </cell>
        </row>
        <row r="212">
          <cell r="A212">
            <v>44955</v>
          </cell>
          <cell r="B212">
            <v>33</v>
          </cell>
          <cell r="C212">
            <v>4</v>
          </cell>
          <cell r="E212">
            <v>110</v>
          </cell>
          <cell r="F212">
            <v>213</v>
          </cell>
        </row>
        <row r="213">
          <cell r="A213">
            <v>44956</v>
          </cell>
          <cell r="B213">
            <v>42</v>
          </cell>
          <cell r="C213">
            <v>5</v>
          </cell>
          <cell r="E213">
            <v>134</v>
          </cell>
          <cell r="F213">
            <v>213</v>
          </cell>
        </row>
        <row r="214">
          <cell r="A214">
            <v>44957</v>
          </cell>
          <cell r="B214">
            <v>43</v>
          </cell>
          <cell r="C214">
            <v>5</v>
          </cell>
          <cell r="E214">
            <v>134</v>
          </cell>
          <cell r="F214">
            <v>213</v>
          </cell>
        </row>
        <row r="215">
          <cell r="A215">
            <v>44958</v>
          </cell>
          <cell r="B215">
            <v>35</v>
          </cell>
          <cell r="C215">
            <v>5</v>
          </cell>
          <cell r="E215">
            <v>134</v>
          </cell>
          <cell r="F215">
            <v>250</v>
          </cell>
        </row>
        <row r="216">
          <cell r="A216">
            <v>44959</v>
          </cell>
          <cell r="B216">
            <v>36</v>
          </cell>
          <cell r="C216">
            <v>5</v>
          </cell>
          <cell r="E216">
            <v>134</v>
          </cell>
          <cell r="F216">
            <v>250</v>
          </cell>
        </row>
        <row r="217">
          <cell r="A217">
            <v>44960</v>
          </cell>
          <cell r="B217">
            <v>39</v>
          </cell>
          <cell r="C217">
            <v>5</v>
          </cell>
          <cell r="E217">
            <v>134</v>
          </cell>
          <cell r="F217">
            <v>250</v>
          </cell>
        </row>
        <row r="218">
          <cell r="A218">
            <v>44961</v>
          </cell>
          <cell r="B218">
            <v>35</v>
          </cell>
          <cell r="C218">
            <v>5</v>
          </cell>
          <cell r="E218">
            <v>134</v>
          </cell>
          <cell r="F218">
            <v>250</v>
          </cell>
        </row>
        <row r="219">
          <cell r="A219">
            <v>44962</v>
          </cell>
          <cell r="B219">
            <v>38</v>
          </cell>
          <cell r="C219">
            <v>5</v>
          </cell>
          <cell r="E219">
            <v>134</v>
          </cell>
          <cell r="F219">
            <v>250</v>
          </cell>
        </row>
        <row r="220">
          <cell r="A220">
            <v>44963</v>
          </cell>
          <cell r="B220">
            <v>37</v>
          </cell>
          <cell r="C220">
            <v>6</v>
          </cell>
          <cell r="E220">
            <v>130</v>
          </cell>
          <cell r="F220">
            <v>250</v>
          </cell>
        </row>
        <row r="221">
          <cell r="A221">
            <v>44964</v>
          </cell>
          <cell r="B221">
            <v>30</v>
          </cell>
          <cell r="C221">
            <v>6</v>
          </cell>
          <cell r="E221">
            <v>130</v>
          </cell>
          <cell r="F221">
            <v>250</v>
          </cell>
        </row>
        <row r="222">
          <cell r="A222">
            <v>44965</v>
          </cell>
          <cell r="B222">
            <v>45</v>
          </cell>
          <cell r="C222">
            <v>6</v>
          </cell>
          <cell r="E222">
            <v>130</v>
          </cell>
          <cell r="F222">
            <v>250</v>
          </cell>
        </row>
        <row r="223">
          <cell r="A223">
            <v>44966</v>
          </cell>
          <cell r="B223">
            <v>32</v>
          </cell>
          <cell r="C223">
            <v>6</v>
          </cell>
          <cell r="E223">
            <v>130</v>
          </cell>
          <cell r="F223">
            <v>250</v>
          </cell>
        </row>
        <row r="224">
          <cell r="A224">
            <v>44967</v>
          </cell>
          <cell r="B224">
            <v>41</v>
          </cell>
          <cell r="C224">
            <v>6</v>
          </cell>
          <cell r="E224">
            <v>130</v>
          </cell>
          <cell r="F224">
            <v>250</v>
          </cell>
        </row>
        <row r="225">
          <cell r="A225">
            <v>44968</v>
          </cell>
          <cell r="B225">
            <v>41</v>
          </cell>
          <cell r="C225">
            <v>6</v>
          </cell>
          <cell r="E225">
            <v>130</v>
          </cell>
          <cell r="F225">
            <v>250</v>
          </cell>
        </row>
        <row r="226">
          <cell r="A226">
            <v>44969</v>
          </cell>
          <cell r="B226">
            <v>42</v>
          </cell>
          <cell r="C226">
            <v>6</v>
          </cell>
          <cell r="E226">
            <v>130</v>
          </cell>
          <cell r="F226">
            <v>250</v>
          </cell>
        </row>
        <row r="227">
          <cell r="A227">
            <v>44970</v>
          </cell>
          <cell r="B227">
            <v>28</v>
          </cell>
          <cell r="C227">
            <v>7</v>
          </cell>
          <cell r="E227">
            <v>118</v>
          </cell>
          <cell r="F227">
            <v>250</v>
          </cell>
        </row>
        <row r="228">
          <cell r="A228">
            <v>44971</v>
          </cell>
          <cell r="B228">
            <v>39</v>
          </cell>
          <cell r="C228">
            <v>7</v>
          </cell>
          <cell r="E228">
            <v>118</v>
          </cell>
          <cell r="F228">
            <v>250</v>
          </cell>
        </row>
        <row r="229">
          <cell r="A229">
            <v>44972</v>
          </cell>
          <cell r="B229">
            <v>41</v>
          </cell>
          <cell r="C229">
            <v>7</v>
          </cell>
          <cell r="E229">
            <v>118</v>
          </cell>
          <cell r="F229">
            <v>250</v>
          </cell>
        </row>
        <row r="230">
          <cell r="A230">
            <v>44973</v>
          </cell>
          <cell r="B230">
            <v>38</v>
          </cell>
          <cell r="C230">
            <v>7</v>
          </cell>
          <cell r="E230">
            <v>118</v>
          </cell>
          <cell r="F230">
            <v>250</v>
          </cell>
        </row>
        <row r="231">
          <cell r="A231">
            <v>44974</v>
          </cell>
          <cell r="B231">
            <v>39</v>
          </cell>
          <cell r="C231">
            <v>7</v>
          </cell>
          <cell r="E231">
            <v>118</v>
          </cell>
          <cell r="F231">
            <v>250</v>
          </cell>
        </row>
        <row r="232">
          <cell r="A232">
            <v>44975</v>
          </cell>
          <cell r="B232">
            <v>41</v>
          </cell>
          <cell r="C232">
            <v>7</v>
          </cell>
          <cell r="E232">
            <v>118</v>
          </cell>
          <cell r="F232">
            <v>250</v>
          </cell>
        </row>
        <row r="233">
          <cell r="A233">
            <v>44976</v>
          </cell>
          <cell r="B233">
            <v>32</v>
          </cell>
          <cell r="C233">
            <v>7</v>
          </cell>
          <cell r="E233">
            <v>118</v>
          </cell>
          <cell r="F233">
            <v>250</v>
          </cell>
        </row>
        <row r="234">
          <cell r="A234">
            <v>44977</v>
          </cell>
          <cell r="B234">
            <v>28</v>
          </cell>
          <cell r="C234">
            <v>8</v>
          </cell>
          <cell r="E234">
            <v>128</v>
          </cell>
          <cell r="F234">
            <v>250</v>
          </cell>
        </row>
        <row r="235">
          <cell r="A235">
            <v>44978</v>
          </cell>
          <cell r="B235">
            <v>38</v>
          </cell>
          <cell r="C235">
            <v>8</v>
          </cell>
          <cell r="E235">
            <v>128</v>
          </cell>
          <cell r="F235">
            <v>250</v>
          </cell>
        </row>
        <row r="236">
          <cell r="A236">
            <v>44979</v>
          </cell>
          <cell r="B236">
            <v>35</v>
          </cell>
          <cell r="C236">
            <v>8</v>
          </cell>
          <cell r="E236">
            <v>128</v>
          </cell>
          <cell r="F236">
            <v>250</v>
          </cell>
        </row>
        <row r="237">
          <cell r="A237">
            <v>44980</v>
          </cell>
          <cell r="B237">
            <v>24</v>
          </cell>
          <cell r="C237">
            <v>8</v>
          </cell>
          <cell r="E237">
            <v>128</v>
          </cell>
          <cell r="F237">
            <v>250</v>
          </cell>
        </row>
        <row r="238">
          <cell r="A238">
            <v>44981</v>
          </cell>
          <cell r="B238">
            <v>30</v>
          </cell>
          <cell r="C238">
            <v>8</v>
          </cell>
          <cell r="E238">
            <v>128</v>
          </cell>
          <cell r="F238">
            <v>250</v>
          </cell>
        </row>
        <row r="239">
          <cell r="A239">
            <v>44982</v>
          </cell>
          <cell r="B239">
            <v>39</v>
          </cell>
          <cell r="C239">
            <v>8</v>
          </cell>
          <cell r="E239">
            <v>128</v>
          </cell>
          <cell r="F239">
            <v>250</v>
          </cell>
        </row>
        <row r="240">
          <cell r="A240">
            <v>44983</v>
          </cell>
          <cell r="B240">
            <v>46</v>
          </cell>
          <cell r="C240">
            <v>8</v>
          </cell>
          <cell r="E240">
            <v>128</v>
          </cell>
          <cell r="F240">
            <v>250</v>
          </cell>
        </row>
        <row r="241">
          <cell r="A241">
            <v>44984</v>
          </cell>
          <cell r="B241">
            <v>36</v>
          </cell>
          <cell r="C241">
            <v>9</v>
          </cell>
          <cell r="E241">
            <v>219</v>
          </cell>
          <cell r="F241">
            <v>250</v>
          </cell>
        </row>
        <row r="242">
          <cell r="A242">
            <v>44985</v>
          </cell>
          <cell r="B242">
            <v>44</v>
          </cell>
          <cell r="C242">
            <v>9</v>
          </cell>
          <cell r="E242">
            <v>219</v>
          </cell>
          <cell r="F242">
            <v>250</v>
          </cell>
        </row>
        <row r="243">
          <cell r="A243">
            <v>44986</v>
          </cell>
          <cell r="B243">
            <v>42</v>
          </cell>
          <cell r="C243">
            <v>9</v>
          </cell>
          <cell r="E243">
            <v>219</v>
          </cell>
          <cell r="F243">
            <v>532</v>
          </cell>
        </row>
        <row r="244">
          <cell r="A244">
            <v>44987</v>
          </cell>
          <cell r="B244">
            <v>46</v>
          </cell>
          <cell r="C244">
            <v>9</v>
          </cell>
          <cell r="E244">
            <v>219</v>
          </cell>
          <cell r="F244">
            <v>532</v>
          </cell>
        </row>
        <row r="245">
          <cell r="A245">
            <v>44988</v>
          </cell>
          <cell r="B245">
            <v>55</v>
          </cell>
          <cell r="C245">
            <v>9</v>
          </cell>
          <cell r="E245">
            <v>219</v>
          </cell>
          <cell r="F245">
            <v>532</v>
          </cell>
        </row>
        <row r="246">
          <cell r="A246">
            <v>44989</v>
          </cell>
          <cell r="B246">
            <v>53</v>
          </cell>
          <cell r="C246">
            <v>9</v>
          </cell>
          <cell r="E246">
            <v>219</v>
          </cell>
          <cell r="F246">
            <v>532</v>
          </cell>
        </row>
        <row r="247">
          <cell r="A247">
            <v>44990</v>
          </cell>
          <cell r="B247">
            <v>64</v>
          </cell>
          <cell r="C247">
            <v>9</v>
          </cell>
          <cell r="E247">
            <v>219</v>
          </cell>
          <cell r="F247">
            <v>532</v>
          </cell>
        </row>
        <row r="248">
          <cell r="A248">
            <v>44991</v>
          </cell>
          <cell r="B248">
            <v>57</v>
          </cell>
          <cell r="C248">
            <v>10</v>
          </cell>
          <cell r="E248">
            <v>243</v>
          </cell>
          <cell r="F248">
            <v>532</v>
          </cell>
        </row>
        <row r="249">
          <cell r="A249">
            <v>44992</v>
          </cell>
          <cell r="B249">
            <v>37</v>
          </cell>
          <cell r="C249">
            <v>10</v>
          </cell>
          <cell r="E249">
            <v>243</v>
          </cell>
          <cell r="F249">
            <v>532</v>
          </cell>
        </row>
        <row r="250">
          <cell r="A250">
            <v>44993</v>
          </cell>
          <cell r="B250">
            <v>55</v>
          </cell>
          <cell r="C250">
            <v>10</v>
          </cell>
          <cell r="E250">
            <v>243</v>
          </cell>
          <cell r="F250">
            <v>532</v>
          </cell>
        </row>
        <row r="251">
          <cell r="A251">
            <v>44994</v>
          </cell>
          <cell r="B251">
            <v>59</v>
          </cell>
          <cell r="C251">
            <v>10</v>
          </cell>
          <cell r="E251">
            <v>243</v>
          </cell>
          <cell r="F251">
            <v>532</v>
          </cell>
        </row>
        <row r="252">
          <cell r="A252">
            <v>44995</v>
          </cell>
          <cell r="B252">
            <v>60</v>
          </cell>
          <cell r="C252">
            <v>10</v>
          </cell>
          <cell r="E252">
            <v>243</v>
          </cell>
          <cell r="F252">
            <v>532</v>
          </cell>
        </row>
        <row r="253">
          <cell r="A253">
            <v>44996</v>
          </cell>
          <cell r="B253">
            <v>55</v>
          </cell>
          <cell r="C253">
            <v>10</v>
          </cell>
          <cell r="E253">
            <v>243</v>
          </cell>
          <cell r="F253">
            <v>532</v>
          </cell>
        </row>
        <row r="254">
          <cell r="A254">
            <v>44997</v>
          </cell>
          <cell r="B254">
            <v>54</v>
          </cell>
          <cell r="C254">
            <v>10</v>
          </cell>
          <cell r="E254">
            <v>243</v>
          </cell>
          <cell r="F254">
            <v>532</v>
          </cell>
        </row>
        <row r="255">
          <cell r="A255">
            <v>44998</v>
          </cell>
          <cell r="B255">
            <v>64</v>
          </cell>
          <cell r="C255">
            <v>11</v>
          </cell>
          <cell r="E255">
            <v>265</v>
          </cell>
          <cell r="F255">
            <v>532</v>
          </cell>
        </row>
        <row r="256">
          <cell r="A256">
            <v>44999</v>
          </cell>
          <cell r="B256">
            <v>47</v>
          </cell>
          <cell r="C256">
            <v>11</v>
          </cell>
          <cell r="E256">
            <v>265</v>
          </cell>
          <cell r="F256">
            <v>532</v>
          </cell>
        </row>
        <row r="257">
          <cell r="A257">
            <v>45000</v>
          </cell>
          <cell r="B257">
            <v>66</v>
          </cell>
          <cell r="C257">
            <v>11</v>
          </cell>
          <cell r="E257">
            <v>265</v>
          </cell>
          <cell r="F257">
            <v>532</v>
          </cell>
        </row>
        <row r="258">
          <cell r="A258">
            <v>45001</v>
          </cell>
          <cell r="B258">
            <v>69</v>
          </cell>
          <cell r="C258">
            <v>11</v>
          </cell>
          <cell r="E258">
            <v>265</v>
          </cell>
          <cell r="F258">
            <v>532</v>
          </cell>
        </row>
        <row r="259">
          <cell r="A259">
            <v>45002</v>
          </cell>
          <cell r="B259">
            <v>52</v>
          </cell>
          <cell r="C259">
            <v>11</v>
          </cell>
          <cell r="E259">
            <v>265</v>
          </cell>
          <cell r="F259">
            <v>532</v>
          </cell>
        </row>
        <row r="260">
          <cell r="A260">
            <v>45003</v>
          </cell>
          <cell r="B260">
            <v>65</v>
          </cell>
          <cell r="C260">
            <v>11</v>
          </cell>
          <cell r="E260">
            <v>265</v>
          </cell>
          <cell r="F260">
            <v>532</v>
          </cell>
        </row>
        <row r="261">
          <cell r="A261">
            <v>45004</v>
          </cell>
          <cell r="B261">
            <v>75</v>
          </cell>
          <cell r="C261">
            <v>11</v>
          </cell>
          <cell r="E261">
            <v>265</v>
          </cell>
          <cell r="F261">
            <v>532</v>
          </cell>
        </row>
        <row r="262">
          <cell r="A262">
            <v>45005</v>
          </cell>
          <cell r="B262">
            <v>64</v>
          </cell>
          <cell r="C262">
            <v>12</v>
          </cell>
          <cell r="E262">
            <v>228</v>
          </cell>
          <cell r="F262">
            <v>532</v>
          </cell>
        </row>
        <row r="263">
          <cell r="A263">
            <v>45006</v>
          </cell>
          <cell r="B263">
            <v>75</v>
          </cell>
          <cell r="C263">
            <v>12</v>
          </cell>
          <cell r="E263">
            <v>228</v>
          </cell>
          <cell r="F263">
            <v>532</v>
          </cell>
        </row>
        <row r="264">
          <cell r="A264">
            <v>45007</v>
          </cell>
          <cell r="B264">
            <v>43</v>
          </cell>
          <cell r="C264">
            <v>12</v>
          </cell>
          <cell r="E264">
            <v>228</v>
          </cell>
          <cell r="F264">
            <v>532</v>
          </cell>
        </row>
        <row r="265">
          <cell r="A265">
            <v>45008</v>
          </cell>
          <cell r="B265">
            <v>74</v>
          </cell>
          <cell r="C265">
            <v>12</v>
          </cell>
          <cell r="E265">
            <v>228</v>
          </cell>
          <cell r="F265">
            <v>532</v>
          </cell>
        </row>
        <row r="266">
          <cell r="A266">
            <v>45009</v>
          </cell>
          <cell r="B266">
            <v>48</v>
          </cell>
          <cell r="C266">
            <v>12</v>
          </cell>
          <cell r="E266">
            <v>228</v>
          </cell>
          <cell r="F266">
            <v>532</v>
          </cell>
        </row>
        <row r="267">
          <cell r="A267">
            <v>45010</v>
          </cell>
          <cell r="B267">
            <v>54</v>
          </cell>
          <cell r="C267">
            <v>12</v>
          </cell>
          <cell r="E267">
            <v>228</v>
          </cell>
          <cell r="F267">
            <v>532</v>
          </cell>
        </row>
        <row r="268">
          <cell r="A268">
            <v>45011</v>
          </cell>
          <cell r="B268">
            <v>52</v>
          </cell>
          <cell r="C268">
            <v>12</v>
          </cell>
          <cell r="E268">
            <v>228</v>
          </cell>
          <cell r="F268">
            <v>532</v>
          </cell>
        </row>
        <row r="269">
          <cell r="A269">
            <v>45012</v>
          </cell>
          <cell r="B269">
            <v>46</v>
          </cell>
          <cell r="C269">
            <v>13</v>
          </cell>
          <cell r="E269">
            <v>210</v>
          </cell>
          <cell r="F269">
            <v>532</v>
          </cell>
        </row>
        <row r="270">
          <cell r="A270">
            <v>45013</v>
          </cell>
          <cell r="B270">
            <v>46</v>
          </cell>
          <cell r="C270">
            <v>13</v>
          </cell>
          <cell r="E270">
            <v>210</v>
          </cell>
          <cell r="F270">
            <v>532</v>
          </cell>
        </row>
        <row r="271">
          <cell r="A271">
            <v>45014</v>
          </cell>
          <cell r="B271">
            <v>49</v>
          </cell>
          <cell r="C271">
            <v>13</v>
          </cell>
          <cell r="E271">
            <v>210</v>
          </cell>
          <cell r="F271">
            <v>532</v>
          </cell>
        </row>
        <row r="272">
          <cell r="A272">
            <v>45015</v>
          </cell>
          <cell r="B272">
            <v>42</v>
          </cell>
          <cell r="C272">
            <v>13</v>
          </cell>
          <cell r="E272">
            <v>210</v>
          </cell>
          <cell r="F272">
            <v>532</v>
          </cell>
        </row>
        <row r="273">
          <cell r="A273">
            <v>45016</v>
          </cell>
          <cell r="B273">
            <v>58</v>
          </cell>
          <cell r="C273">
            <v>13</v>
          </cell>
          <cell r="E273">
            <v>210</v>
          </cell>
          <cell r="F273">
            <v>532</v>
          </cell>
        </row>
        <row r="274">
          <cell r="A274">
            <v>45017</v>
          </cell>
          <cell r="B274">
            <v>65</v>
          </cell>
          <cell r="C274">
            <v>13</v>
          </cell>
          <cell r="E274">
            <v>210</v>
          </cell>
          <cell r="F274">
            <v>341</v>
          </cell>
        </row>
        <row r="275">
          <cell r="A275">
            <v>45018</v>
          </cell>
          <cell r="B275">
            <v>58</v>
          </cell>
          <cell r="C275">
            <v>13</v>
          </cell>
          <cell r="E275">
            <v>210</v>
          </cell>
          <cell r="F275">
            <v>341</v>
          </cell>
        </row>
        <row r="276">
          <cell r="A276">
            <v>45019</v>
          </cell>
          <cell r="B276">
            <v>57</v>
          </cell>
          <cell r="C276">
            <v>14</v>
          </cell>
          <cell r="E276">
            <v>234</v>
          </cell>
          <cell r="F276">
            <v>341</v>
          </cell>
        </row>
        <row r="277">
          <cell r="A277">
            <v>45020</v>
          </cell>
          <cell r="B277">
            <v>61</v>
          </cell>
          <cell r="C277">
            <v>14</v>
          </cell>
          <cell r="E277">
            <v>234</v>
          </cell>
          <cell r="F277">
            <v>341</v>
          </cell>
        </row>
        <row r="278">
          <cell r="A278">
            <v>45021</v>
          </cell>
          <cell r="B278">
            <v>67</v>
          </cell>
          <cell r="C278">
            <v>14</v>
          </cell>
          <cell r="E278">
            <v>234</v>
          </cell>
          <cell r="F278">
            <v>341</v>
          </cell>
        </row>
        <row r="279">
          <cell r="A279">
            <v>45022</v>
          </cell>
          <cell r="B279">
            <v>69</v>
          </cell>
          <cell r="C279">
            <v>14</v>
          </cell>
          <cell r="E279">
            <v>234</v>
          </cell>
          <cell r="F279">
            <v>341</v>
          </cell>
        </row>
        <row r="280">
          <cell r="A280">
            <v>45023</v>
          </cell>
          <cell r="B280">
            <v>53</v>
          </cell>
          <cell r="C280">
            <v>14</v>
          </cell>
          <cell r="E280">
            <v>234</v>
          </cell>
          <cell r="F280">
            <v>341</v>
          </cell>
        </row>
        <row r="281">
          <cell r="A281">
            <v>45024</v>
          </cell>
          <cell r="B281">
            <v>69</v>
          </cell>
          <cell r="C281">
            <v>14</v>
          </cell>
          <cell r="E281">
            <v>234</v>
          </cell>
          <cell r="F281">
            <v>341</v>
          </cell>
        </row>
        <row r="282">
          <cell r="A282">
            <v>45025</v>
          </cell>
          <cell r="B282">
            <v>61</v>
          </cell>
          <cell r="C282">
            <v>14</v>
          </cell>
          <cell r="E282">
            <v>234</v>
          </cell>
          <cell r="F282">
            <v>341</v>
          </cell>
        </row>
        <row r="283">
          <cell r="A283">
            <v>45026</v>
          </cell>
          <cell r="B283">
            <v>46</v>
          </cell>
          <cell r="C283">
            <v>15</v>
          </cell>
          <cell r="E283">
            <v>194</v>
          </cell>
          <cell r="F283">
            <v>341</v>
          </cell>
        </row>
        <row r="284">
          <cell r="A284">
            <v>45027</v>
          </cell>
          <cell r="B284">
            <v>52</v>
          </cell>
          <cell r="C284">
            <v>15</v>
          </cell>
          <cell r="E284">
            <v>194</v>
          </cell>
          <cell r="F284">
            <v>341</v>
          </cell>
        </row>
        <row r="285">
          <cell r="A285">
            <v>45028</v>
          </cell>
          <cell r="B285">
            <v>53</v>
          </cell>
          <cell r="C285">
            <v>15</v>
          </cell>
          <cell r="E285">
            <v>194</v>
          </cell>
          <cell r="F285">
            <v>341</v>
          </cell>
        </row>
        <row r="286">
          <cell r="A286">
            <v>45029</v>
          </cell>
          <cell r="B286">
            <v>49</v>
          </cell>
          <cell r="C286">
            <v>15</v>
          </cell>
          <cell r="E286">
            <v>194</v>
          </cell>
          <cell r="F286">
            <v>341</v>
          </cell>
        </row>
        <row r="287">
          <cell r="A287">
            <v>45030</v>
          </cell>
          <cell r="B287">
            <v>53</v>
          </cell>
          <cell r="C287">
            <v>15</v>
          </cell>
          <cell r="E287">
            <v>194</v>
          </cell>
          <cell r="F287">
            <v>341</v>
          </cell>
        </row>
        <row r="288">
          <cell r="A288">
            <v>45031</v>
          </cell>
          <cell r="B288">
            <v>49</v>
          </cell>
          <cell r="C288">
            <v>15</v>
          </cell>
          <cell r="E288">
            <v>194</v>
          </cell>
          <cell r="F288">
            <v>341</v>
          </cell>
        </row>
        <row r="289">
          <cell r="A289">
            <v>45032</v>
          </cell>
          <cell r="B289">
            <v>55</v>
          </cell>
          <cell r="C289">
            <v>15</v>
          </cell>
          <cell r="E289">
            <v>194</v>
          </cell>
          <cell r="F289">
            <v>341</v>
          </cell>
        </row>
        <row r="290">
          <cell r="A290">
            <v>45033</v>
          </cell>
          <cell r="B290">
            <v>47</v>
          </cell>
          <cell r="C290">
            <v>16</v>
          </cell>
          <cell r="E290">
            <v>171</v>
          </cell>
          <cell r="F290">
            <v>341</v>
          </cell>
        </row>
        <row r="291">
          <cell r="A291">
            <v>45034</v>
          </cell>
          <cell r="B291">
            <v>50</v>
          </cell>
          <cell r="C291">
            <v>16</v>
          </cell>
          <cell r="E291">
            <v>171</v>
          </cell>
          <cell r="F291">
            <v>341</v>
          </cell>
        </row>
        <row r="292">
          <cell r="A292">
            <v>45035</v>
          </cell>
          <cell r="B292">
            <v>41</v>
          </cell>
          <cell r="C292">
            <v>16</v>
          </cell>
          <cell r="E292">
            <v>171</v>
          </cell>
          <cell r="F292">
            <v>341</v>
          </cell>
        </row>
        <row r="293">
          <cell r="A293">
            <v>45036</v>
          </cell>
          <cell r="B293">
            <v>44</v>
          </cell>
          <cell r="C293">
            <v>16</v>
          </cell>
          <cell r="E293">
            <v>171</v>
          </cell>
          <cell r="F293">
            <v>341</v>
          </cell>
        </row>
        <row r="294">
          <cell r="A294">
            <v>45037</v>
          </cell>
          <cell r="B294">
            <v>33</v>
          </cell>
          <cell r="C294">
            <v>16</v>
          </cell>
          <cell r="E294">
            <v>171</v>
          </cell>
          <cell r="F294">
            <v>341</v>
          </cell>
        </row>
        <row r="295">
          <cell r="A295">
            <v>45038</v>
          </cell>
          <cell r="B295">
            <v>31</v>
          </cell>
          <cell r="C295">
            <v>16</v>
          </cell>
          <cell r="E295">
            <v>171</v>
          </cell>
          <cell r="F295">
            <v>341</v>
          </cell>
        </row>
        <row r="296">
          <cell r="A296">
            <v>45039</v>
          </cell>
          <cell r="B296">
            <v>30</v>
          </cell>
          <cell r="C296">
            <v>16</v>
          </cell>
          <cell r="E296">
            <v>171</v>
          </cell>
          <cell r="F296">
            <v>341</v>
          </cell>
        </row>
        <row r="297">
          <cell r="A297">
            <v>45040</v>
          </cell>
          <cell r="B297">
            <v>29</v>
          </cell>
          <cell r="C297">
            <v>17</v>
          </cell>
          <cell r="E297">
            <v>139</v>
          </cell>
          <cell r="F297">
            <v>341</v>
          </cell>
        </row>
        <row r="298">
          <cell r="A298">
            <v>45041</v>
          </cell>
          <cell r="B298">
            <v>31</v>
          </cell>
          <cell r="C298">
            <v>17</v>
          </cell>
          <cell r="E298">
            <v>139</v>
          </cell>
          <cell r="F298">
            <v>341</v>
          </cell>
        </row>
        <row r="299">
          <cell r="A299">
            <v>45042</v>
          </cell>
          <cell r="B299">
            <v>31</v>
          </cell>
          <cell r="C299">
            <v>17</v>
          </cell>
          <cell r="E299">
            <v>139</v>
          </cell>
          <cell r="F299">
            <v>341</v>
          </cell>
        </row>
        <row r="300">
          <cell r="A300">
            <v>45043</v>
          </cell>
          <cell r="B300">
            <v>19</v>
          </cell>
          <cell r="C300">
            <v>17</v>
          </cell>
          <cell r="E300">
            <v>139</v>
          </cell>
          <cell r="F300">
            <v>341</v>
          </cell>
        </row>
        <row r="301">
          <cell r="A301">
            <v>45044</v>
          </cell>
          <cell r="B301">
            <v>26</v>
          </cell>
          <cell r="C301">
            <v>17</v>
          </cell>
          <cell r="E301">
            <v>139</v>
          </cell>
          <cell r="F301">
            <v>341</v>
          </cell>
        </row>
        <row r="302">
          <cell r="A302">
            <v>45045</v>
          </cell>
          <cell r="B302">
            <v>24</v>
          </cell>
          <cell r="C302">
            <v>17</v>
          </cell>
          <cell r="E302">
            <v>139</v>
          </cell>
          <cell r="F302">
            <v>341</v>
          </cell>
        </row>
        <row r="303">
          <cell r="A303">
            <v>45046</v>
          </cell>
          <cell r="B303">
            <v>23</v>
          </cell>
          <cell r="C303">
            <v>17</v>
          </cell>
          <cell r="E303">
            <v>139</v>
          </cell>
          <cell r="F303">
            <v>341</v>
          </cell>
        </row>
      </sheetData>
      <sheetData sheetId="2">
        <row r="1">
          <cell r="A1" t="str">
            <v>NUMWEEK</v>
          </cell>
          <cell r="B1" t="str">
            <v>weeks</v>
          </cell>
          <cell r="C1" t="str">
            <v>LWAU</v>
          </cell>
        </row>
        <row r="2">
          <cell r="A2">
            <v>26</v>
          </cell>
          <cell r="B2">
            <v>44739</v>
          </cell>
          <cell r="C2">
            <v>1</v>
          </cell>
        </row>
        <row r="3">
          <cell r="A3">
            <v>27</v>
          </cell>
          <cell r="B3">
            <v>44746</v>
          </cell>
          <cell r="C3">
            <v>21</v>
          </cell>
        </row>
        <row r="4">
          <cell r="A4">
            <v>28</v>
          </cell>
          <cell r="B4">
            <v>44753</v>
          </cell>
          <cell r="C4">
            <v>31</v>
          </cell>
        </row>
        <row r="5">
          <cell r="A5">
            <v>29</v>
          </cell>
          <cell r="B5">
            <v>44760</v>
          </cell>
          <cell r="C5">
            <v>49</v>
          </cell>
        </row>
        <row r="6">
          <cell r="A6">
            <v>30</v>
          </cell>
          <cell r="B6">
            <v>44767</v>
          </cell>
          <cell r="C6">
            <v>73</v>
          </cell>
        </row>
        <row r="7">
          <cell r="A7">
            <v>31</v>
          </cell>
          <cell r="B7">
            <v>44774</v>
          </cell>
          <cell r="C7">
            <v>85</v>
          </cell>
        </row>
        <row r="8">
          <cell r="A8">
            <v>32</v>
          </cell>
          <cell r="B8">
            <v>44781</v>
          </cell>
          <cell r="C8">
            <v>79</v>
          </cell>
        </row>
        <row r="9">
          <cell r="A9">
            <v>33</v>
          </cell>
          <cell r="B9">
            <v>44788</v>
          </cell>
          <cell r="C9">
            <v>88</v>
          </cell>
        </row>
        <row r="10">
          <cell r="A10">
            <v>34</v>
          </cell>
          <cell r="B10">
            <v>44795</v>
          </cell>
          <cell r="C10">
            <v>88</v>
          </cell>
        </row>
        <row r="11">
          <cell r="A11">
            <v>35</v>
          </cell>
          <cell r="B11">
            <v>44802</v>
          </cell>
          <cell r="C11">
            <v>74</v>
          </cell>
        </row>
        <row r="12">
          <cell r="A12">
            <v>36</v>
          </cell>
          <cell r="B12">
            <v>44809</v>
          </cell>
          <cell r="C12">
            <v>76</v>
          </cell>
        </row>
        <row r="13">
          <cell r="A13">
            <v>37</v>
          </cell>
          <cell r="B13">
            <v>44816</v>
          </cell>
          <cell r="C13">
            <v>77</v>
          </cell>
        </row>
        <row r="14">
          <cell r="A14">
            <v>38</v>
          </cell>
          <cell r="B14">
            <v>44823</v>
          </cell>
          <cell r="C14">
            <v>78</v>
          </cell>
        </row>
        <row r="15">
          <cell r="A15">
            <v>39</v>
          </cell>
          <cell r="B15">
            <v>44830</v>
          </cell>
          <cell r="C15">
            <v>69</v>
          </cell>
        </row>
        <row r="16">
          <cell r="A16">
            <v>40</v>
          </cell>
          <cell r="B16">
            <v>44837</v>
          </cell>
          <cell r="C16">
            <v>66</v>
          </cell>
        </row>
        <row r="17">
          <cell r="A17">
            <v>41</v>
          </cell>
          <cell r="B17">
            <v>44844</v>
          </cell>
          <cell r="C17">
            <v>71</v>
          </cell>
        </row>
        <row r="18">
          <cell r="A18">
            <v>42</v>
          </cell>
          <cell r="B18">
            <v>44851</v>
          </cell>
          <cell r="C18">
            <v>63</v>
          </cell>
        </row>
        <row r="19">
          <cell r="A19">
            <v>43</v>
          </cell>
          <cell r="B19">
            <v>44858</v>
          </cell>
          <cell r="C19">
            <v>67</v>
          </cell>
        </row>
        <row r="20">
          <cell r="A20">
            <v>44</v>
          </cell>
          <cell r="B20">
            <v>44865</v>
          </cell>
          <cell r="C20">
            <v>71</v>
          </cell>
        </row>
        <row r="21">
          <cell r="A21">
            <v>45</v>
          </cell>
          <cell r="B21">
            <v>44872</v>
          </cell>
          <cell r="C21">
            <v>74</v>
          </cell>
        </row>
        <row r="22">
          <cell r="A22">
            <v>46</v>
          </cell>
          <cell r="B22">
            <v>44879</v>
          </cell>
          <cell r="C22">
            <v>72</v>
          </cell>
        </row>
        <row r="23">
          <cell r="A23">
            <v>47</v>
          </cell>
          <cell r="B23">
            <v>44886</v>
          </cell>
          <cell r="C23">
            <v>65</v>
          </cell>
        </row>
        <row r="24">
          <cell r="A24">
            <v>48</v>
          </cell>
          <cell r="B24">
            <v>44893</v>
          </cell>
          <cell r="C24">
            <v>55</v>
          </cell>
        </row>
        <row r="25">
          <cell r="A25">
            <v>49</v>
          </cell>
          <cell r="B25">
            <v>44900</v>
          </cell>
          <cell r="C25">
            <v>60</v>
          </cell>
        </row>
        <row r="26">
          <cell r="A26">
            <v>50</v>
          </cell>
          <cell r="B26">
            <v>44907</v>
          </cell>
          <cell r="C26">
            <v>55</v>
          </cell>
        </row>
        <row r="27">
          <cell r="A27">
            <v>51</v>
          </cell>
          <cell r="B27">
            <v>44914</v>
          </cell>
          <cell r="C27">
            <v>50</v>
          </cell>
        </row>
        <row r="28">
          <cell r="A28">
            <v>52</v>
          </cell>
          <cell r="B28">
            <v>44921</v>
          </cell>
          <cell r="C28">
            <v>56</v>
          </cell>
        </row>
        <row r="29">
          <cell r="A29">
            <v>1</v>
          </cell>
          <cell r="B29">
            <v>44928</v>
          </cell>
          <cell r="C29">
            <v>71</v>
          </cell>
        </row>
        <row r="30">
          <cell r="A30">
            <v>2</v>
          </cell>
          <cell r="B30">
            <v>44935</v>
          </cell>
          <cell r="C30">
            <v>86</v>
          </cell>
        </row>
        <row r="31">
          <cell r="A31">
            <v>3</v>
          </cell>
          <cell r="B31">
            <v>44942</v>
          </cell>
          <cell r="C31">
            <v>107</v>
          </cell>
        </row>
        <row r="32">
          <cell r="A32">
            <v>4</v>
          </cell>
          <cell r="B32">
            <v>44949</v>
          </cell>
          <cell r="C32">
            <v>110</v>
          </cell>
        </row>
        <row r="33">
          <cell r="A33">
            <v>5</v>
          </cell>
          <cell r="B33">
            <v>44956</v>
          </cell>
          <cell r="C33">
            <v>134</v>
          </cell>
        </row>
        <row r="34">
          <cell r="A34">
            <v>6</v>
          </cell>
          <cell r="B34">
            <v>44963</v>
          </cell>
          <cell r="C34">
            <v>130</v>
          </cell>
        </row>
        <row r="35">
          <cell r="A35">
            <v>7</v>
          </cell>
          <cell r="B35">
            <v>44970</v>
          </cell>
          <cell r="C35">
            <v>118</v>
          </cell>
        </row>
        <row r="36">
          <cell r="A36">
            <v>8</v>
          </cell>
          <cell r="B36">
            <v>44977</v>
          </cell>
          <cell r="C36">
            <v>128</v>
          </cell>
        </row>
        <row r="37">
          <cell r="A37">
            <v>9</v>
          </cell>
          <cell r="B37">
            <v>44984</v>
          </cell>
          <cell r="C37">
            <v>219</v>
          </cell>
        </row>
        <row r="38">
          <cell r="A38">
            <v>10</v>
          </cell>
          <cell r="B38">
            <v>44991</v>
          </cell>
          <cell r="C38">
            <v>243</v>
          </cell>
        </row>
        <row r="39">
          <cell r="A39">
            <v>11</v>
          </cell>
          <cell r="B39">
            <v>44998</v>
          </cell>
          <cell r="C39">
            <v>265</v>
          </cell>
        </row>
        <row r="40">
          <cell r="A40">
            <v>12</v>
          </cell>
          <cell r="B40">
            <v>45005</v>
          </cell>
          <cell r="C40">
            <v>228</v>
          </cell>
        </row>
        <row r="41">
          <cell r="A41">
            <v>13</v>
          </cell>
          <cell r="B41">
            <v>45012</v>
          </cell>
          <cell r="C41">
            <v>210</v>
          </cell>
        </row>
        <row r="42">
          <cell r="A42">
            <v>14</v>
          </cell>
          <cell r="B42">
            <v>45019</v>
          </cell>
          <cell r="C42">
            <v>234</v>
          </cell>
        </row>
        <row r="43">
          <cell r="A43">
            <v>15</v>
          </cell>
          <cell r="B43">
            <v>45026</v>
          </cell>
          <cell r="C43">
            <v>194</v>
          </cell>
        </row>
        <row r="44">
          <cell r="A44">
            <v>16</v>
          </cell>
          <cell r="B44">
            <v>45033</v>
          </cell>
          <cell r="C44">
            <v>171</v>
          </cell>
        </row>
        <row r="45">
          <cell r="A45">
            <v>17</v>
          </cell>
          <cell r="B45">
            <v>45040</v>
          </cell>
          <cell r="C45">
            <v>139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sult"/>
    </sheetNames>
    <sheetDataSet>
      <sheetData sheetId="0">
        <row r="1">
          <cell r="B1" t="str">
            <v>cnt_user</v>
          </cell>
        </row>
        <row r="2">
          <cell r="A2">
            <v>44743</v>
          </cell>
          <cell r="B2">
            <v>19</v>
          </cell>
        </row>
        <row r="3">
          <cell r="A3">
            <v>44774</v>
          </cell>
          <cell r="B3">
            <v>32</v>
          </cell>
        </row>
        <row r="4">
          <cell r="A4">
            <v>44805</v>
          </cell>
          <cell r="B4">
            <v>29</v>
          </cell>
        </row>
        <row r="5">
          <cell r="A5">
            <v>44835</v>
          </cell>
          <cell r="B5">
            <v>35</v>
          </cell>
        </row>
        <row r="6">
          <cell r="A6">
            <v>44866</v>
          </cell>
          <cell r="B6">
            <v>38</v>
          </cell>
        </row>
        <row r="7">
          <cell r="A7">
            <v>44896</v>
          </cell>
          <cell r="B7">
            <v>38</v>
          </cell>
        </row>
        <row r="8">
          <cell r="A8">
            <v>44927</v>
          </cell>
          <cell r="B8">
            <v>64</v>
          </cell>
        </row>
        <row r="9">
          <cell r="A9">
            <v>44958</v>
          </cell>
          <cell r="B9">
            <v>90</v>
          </cell>
        </row>
        <row r="10">
          <cell r="A10">
            <v>44986</v>
          </cell>
          <cell r="B10">
            <v>184</v>
          </cell>
        </row>
        <row r="11">
          <cell r="A11">
            <v>45017</v>
          </cell>
          <cell r="B11">
            <v>130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sult"/>
    </sheetNames>
    <sheetDataSet>
      <sheetData sheetId="0">
        <row r="1">
          <cell r="B1" t="str">
            <v>Кол-во при условии ИЛИ</v>
          </cell>
          <cell r="C1" t="str">
            <v>Кол-во при условии И</v>
          </cell>
        </row>
        <row r="2">
          <cell r="A2">
            <v>44743</v>
          </cell>
          <cell r="B2">
            <v>91</v>
          </cell>
          <cell r="C2">
            <v>5</v>
          </cell>
        </row>
        <row r="3">
          <cell r="A3">
            <v>44774</v>
          </cell>
          <cell r="B3">
            <v>170</v>
          </cell>
          <cell r="C3">
            <v>10</v>
          </cell>
        </row>
        <row r="4">
          <cell r="A4">
            <v>44805</v>
          </cell>
          <cell r="B4">
            <v>161</v>
          </cell>
          <cell r="C4">
            <v>10</v>
          </cell>
        </row>
        <row r="5">
          <cell r="A5">
            <v>44835</v>
          </cell>
          <cell r="B5">
            <v>156</v>
          </cell>
          <cell r="C5">
            <v>12</v>
          </cell>
        </row>
        <row r="6">
          <cell r="A6">
            <v>44866</v>
          </cell>
          <cell r="B6">
            <v>179</v>
          </cell>
          <cell r="C6">
            <v>17</v>
          </cell>
        </row>
        <row r="7">
          <cell r="A7">
            <v>44896</v>
          </cell>
          <cell r="B7">
            <v>176</v>
          </cell>
          <cell r="C7">
            <v>16</v>
          </cell>
        </row>
        <row r="8">
          <cell r="A8">
            <v>44927</v>
          </cell>
          <cell r="B8">
            <v>255</v>
          </cell>
          <cell r="C8">
            <v>22</v>
          </cell>
        </row>
        <row r="9">
          <cell r="A9">
            <v>44958</v>
          </cell>
          <cell r="B9">
            <v>311</v>
          </cell>
          <cell r="C9">
            <v>29</v>
          </cell>
        </row>
        <row r="10">
          <cell r="A10">
            <v>44986</v>
          </cell>
          <cell r="B10">
            <v>655</v>
          </cell>
          <cell r="C10">
            <v>61</v>
          </cell>
        </row>
        <row r="11">
          <cell r="A11">
            <v>45017</v>
          </cell>
          <cell r="B11">
            <v>429</v>
          </cell>
          <cell r="C11">
            <v>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28.88671875" customWidth="1"/>
    <col min="2" max="2" width="11.88671875" customWidth="1"/>
  </cols>
  <sheetData>
    <row r="1" spans="1:2" ht="15" thickBot="1" x14ac:dyDescent="0.35">
      <c r="A1" s="26" t="s">
        <v>0</v>
      </c>
      <c r="B1" s="28" t="s">
        <v>1</v>
      </c>
    </row>
    <row r="2" spans="1:2" x14ac:dyDescent="0.3">
      <c r="A2" s="2">
        <v>44743</v>
      </c>
      <c r="B2" s="3">
        <v>259</v>
      </c>
    </row>
    <row r="3" spans="1:2" x14ac:dyDescent="0.3">
      <c r="A3" s="2">
        <v>44774</v>
      </c>
      <c r="B3" s="3">
        <v>235</v>
      </c>
    </row>
    <row r="4" spans="1:2" x14ac:dyDescent="0.3">
      <c r="A4" s="2">
        <v>44805</v>
      </c>
      <c r="B4" s="3">
        <v>257</v>
      </c>
    </row>
    <row r="5" spans="1:2" x14ac:dyDescent="0.3">
      <c r="A5" s="2">
        <v>44835</v>
      </c>
      <c r="B5" s="3">
        <v>263</v>
      </c>
    </row>
    <row r="6" spans="1:2" x14ac:dyDescent="0.3">
      <c r="A6" s="2">
        <v>44866</v>
      </c>
      <c r="B6" s="3">
        <v>255</v>
      </c>
    </row>
    <row r="7" spans="1:2" x14ac:dyDescent="0.3">
      <c r="A7" s="2">
        <v>44896</v>
      </c>
      <c r="B7" s="3">
        <v>255</v>
      </c>
    </row>
    <row r="8" spans="1:2" x14ac:dyDescent="0.3">
      <c r="A8" s="2">
        <v>44927</v>
      </c>
      <c r="B8" s="3">
        <v>415</v>
      </c>
    </row>
    <row r="9" spans="1:2" x14ac:dyDescent="0.3">
      <c r="A9" s="2">
        <v>44958</v>
      </c>
      <c r="B9" s="3">
        <v>458</v>
      </c>
    </row>
    <row r="10" spans="1:2" ht="15" thickBot="1" x14ac:dyDescent="0.35">
      <c r="A10" s="4">
        <v>44986</v>
      </c>
      <c r="B10" s="5">
        <v>681</v>
      </c>
    </row>
  </sheetData>
  <autoFilter ref="A1:B1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5770-11EC-4F73-99D5-DA69E22F4F4A}">
  <dimension ref="A1:D11"/>
  <sheetViews>
    <sheetView workbookViewId="0">
      <selection activeCell="G28" sqref="G28"/>
    </sheetView>
  </sheetViews>
  <sheetFormatPr defaultRowHeight="14.4" x14ac:dyDescent="0.3"/>
  <cols>
    <col min="1" max="1" width="10.109375" bestFit="1" customWidth="1"/>
    <col min="2" max="2" width="18.6640625" bestFit="1" customWidth="1"/>
    <col min="3" max="3" width="22.21875" bestFit="1" customWidth="1"/>
    <col min="4" max="4" width="20.5546875" bestFit="1" customWidth="1"/>
  </cols>
  <sheetData>
    <row r="1" spans="1:4" ht="15" thickBot="1" x14ac:dyDescent="0.35">
      <c r="A1" s="26" t="s">
        <v>0</v>
      </c>
      <c r="B1" s="27" t="s">
        <v>13</v>
      </c>
      <c r="C1" s="27" t="s">
        <v>14</v>
      </c>
      <c r="D1" s="28" t="s">
        <v>15</v>
      </c>
    </row>
    <row r="2" spans="1:4" x14ac:dyDescent="0.3">
      <c r="A2" s="2">
        <v>44743</v>
      </c>
      <c r="B2" s="8">
        <v>1203</v>
      </c>
      <c r="C2" s="8">
        <v>919</v>
      </c>
      <c r="D2" s="6">
        <v>0.76392352452202827</v>
      </c>
    </row>
    <row r="3" spans="1:4" x14ac:dyDescent="0.3">
      <c r="A3" s="2">
        <v>44774</v>
      </c>
      <c r="B3" s="8">
        <v>2209</v>
      </c>
      <c r="C3" s="8">
        <v>1707</v>
      </c>
      <c r="D3" s="6">
        <v>0.77274784970574917</v>
      </c>
    </row>
    <row r="4" spans="1:4" x14ac:dyDescent="0.3">
      <c r="A4" s="2">
        <v>44805</v>
      </c>
      <c r="B4" s="8">
        <v>2233</v>
      </c>
      <c r="C4" s="8">
        <v>1715</v>
      </c>
      <c r="D4" s="6">
        <v>0.76802507836990597</v>
      </c>
    </row>
    <row r="5" spans="1:4" x14ac:dyDescent="0.3">
      <c r="A5" s="2">
        <v>44835</v>
      </c>
      <c r="B5" s="8">
        <v>2332</v>
      </c>
      <c r="C5" s="8">
        <v>1809</v>
      </c>
      <c r="D5" s="6">
        <v>0.77572898799313894</v>
      </c>
    </row>
    <row r="6" spans="1:4" x14ac:dyDescent="0.3">
      <c r="A6" s="2">
        <v>44866</v>
      </c>
      <c r="B6" s="8">
        <v>1688</v>
      </c>
      <c r="C6" s="8">
        <v>1253</v>
      </c>
      <c r="D6" s="6">
        <v>0.74229857819905209</v>
      </c>
    </row>
    <row r="7" spans="1:4" x14ac:dyDescent="0.3">
      <c r="A7" s="2">
        <v>44896</v>
      </c>
      <c r="B7" s="8">
        <v>935</v>
      </c>
      <c r="C7" s="8">
        <v>612</v>
      </c>
      <c r="D7" s="6">
        <v>0.65454545454545454</v>
      </c>
    </row>
    <row r="8" spans="1:4" x14ac:dyDescent="0.3">
      <c r="A8" s="2">
        <v>44927</v>
      </c>
      <c r="B8" s="8">
        <v>2426</v>
      </c>
      <c r="C8" s="8">
        <v>1775</v>
      </c>
      <c r="D8" s="6">
        <v>0.73165704863973624</v>
      </c>
    </row>
    <row r="9" spans="1:4" x14ac:dyDescent="0.3">
      <c r="A9" s="2">
        <v>44958</v>
      </c>
      <c r="B9" s="8">
        <v>3383</v>
      </c>
      <c r="C9" s="8">
        <v>2429</v>
      </c>
      <c r="D9" s="6">
        <v>0.71800177357375106</v>
      </c>
    </row>
    <row r="10" spans="1:4" x14ac:dyDescent="0.3">
      <c r="A10" s="2">
        <v>44986</v>
      </c>
      <c r="B10" s="8">
        <v>5779</v>
      </c>
      <c r="C10" s="8">
        <v>3895</v>
      </c>
      <c r="D10" s="6">
        <v>0.67399204014535385</v>
      </c>
    </row>
    <row r="11" spans="1:4" ht="15" thickBot="1" x14ac:dyDescent="0.35">
      <c r="A11" s="4">
        <v>45017</v>
      </c>
      <c r="B11" s="29">
        <v>4973</v>
      </c>
      <c r="C11" s="29">
        <v>3243</v>
      </c>
      <c r="D11" s="7">
        <v>0.65212145586165293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B4EF-9FC8-49C2-A06E-6C182D21343A}">
  <dimension ref="A1:B11"/>
  <sheetViews>
    <sheetView workbookViewId="0">
      <selection activeCell="R18" sqref="R18"/>
    </sheetView>
  </sheetViews>
  <sheetFormatPr defaultRowHeight="14.4" x14ac:dyDescent="0.3"/>
  <cols>
    <col min="1" max="1" width="10.109375" bestFit="1" customWidth="1"/>
    <col min="2" max="2" width="9.88671875" bestFit="1" customWidth="1"/>
  </cols>
  <sheetData>
    <row r="1" spans="1:2" ht="15" thickBot="1" x14ac:dyDescent="0.35">
      <c r="A1" s="26" t="s">
        <v>0</v>
      </c>
      <c r="B1" s="28" t="s">
        <v>2</v>
      </c>
    </row>
    <row r="2" spans="1:2" x14ac:dyDescent="0.3">
      <c r="A2" s="2">
        <v>44743</v>
      </c>
      <c r="B2" s="6">
        <v>0.66811751904243744</v>
      </c>
    </row>
    <row r="3" spans="1:2" x14ac:dyDescent="0.3">
      <c r="A3" s="2">
        <v>44774</v>
      </c>
      <c r="B3" s="6">
        <v>0.69244288224956063</v>
      </c>
    </row>
    <row r="4" spans="1:2" x14ac:dyDescent="0.3">
      <c r="A4" s="2">
        <v>44805</v>
      </c>
      <c r="B4" s="6">
        <v>0.69154518950437316</v>
      </c>
    </row>
    <row r="5" spans="1:2" x14ac:dyDescent="0.3">
      <c r="A5" s="2">
        <v>44835</v>
      </c>
      <c r="B5" s="6">
        <v>0.6843559977888336</v>
      </c>
    </row>
    <row r="6" spans="1:2" x14ac:dyDescent="0.3">
      <c r="A6" s="2">
        <v>44866</v>
      </c>
      <c r="B6" s="6">
        <v>0.63607342378292098</v>
      </c>
    </row>
    <row r="7" spans="1:2" x14ac:dyDescent="0.3">
      <c r="A7" s="2">
        <v>44896</v>
      </c>
      <c r="B7" s="6">
        <v>0.56372549019607843</v>
      </c>
    </row>
    <row r="8" spans="1:2" x14ac:dyDescent="0.3">
      <c r="A8" s="2">
        <v>44927</v>
      </c>
      <c r="B8" s="6">
        <v>0.65014084507042258</v>
      </c>
    </row>
    <row r="9" spans="1:2" x14ac:dyDescent="0.3">
      <c r="A9" s="2">
        <v>44958</v>
      </c>
      <c r="B9" s="6">
        <v>0.66941128036228903</v>
      </c>
    </row>
    <row r="10" spans="1:2" x14ac:dyDescent="0.3">
      <c r="A10" s="2">
        <v>44986</v>
      </c>
      <c r="B10" s="6">
        <v>0.6426187419768935</v>
      </c>
    </row>
    <row r="11" spans="1:2" ht="15" thickBot="1" x14ac:dyDescent="0.35">
      <c r="A11" s="4">
        <v>45017</v>
      </c>
      <c r="B11" s="7">
        <v>0.70027752081406103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EBC1-AC94-4547-B253-1BE2F9E9ECD0}">
  <dimension ref="A1:B11"/>
  <sheetViews>
    <sheetView workbookViewId="0">
      <selection sqref="A1:B1"/>
    </sheetView>
  </sheetViews>
  <sheetFormatPr defaultRowHeight="14.4" x14ac:dyDescent="0.3"/>
  <cols>
    <col min="1" max="1" width="10.109375" bestFit="1" customWidth="1"/>
    <col min="2" max="2" width="12.88671875" customWidth="1"/>
  </cols>
  <sheetData>
    <row r="1" spans="1:2" ht="15" thickBot="1" x14ac:dyDescent="0.35">
      <c r="A1" s="26" t="s">
        <v>0</v>
      </c>
      <c r="B1" s="28" t="s">
        <v>3</v>
      </c>
    </row>
    <row r="2" spans="1:2" x14ac:dyDescent="0.3">
      <c r="A2" s="2">
        <v>44743</v>
      </c>
      <c r="B2" s="6">
        <v>2.2188248095756258</v>
      </c>
    </row>
    <row r="3" spans="1:2" x14ac:dyDescent="0.3">
      <c r="A3" s="2">
        <v>44774</v>
      </c>
      <c r="B3" s="6">
        <v>2.3230326108181996</v>
      </c>
    </row>
    <row r="4" spans="1:2" x14ac:dyDescent="0.3">
      <c r="A4" s="2">
        <v>44805</v>
      </c>
      <c r="B4" s="6">
        <v>2.2760932944606416</v>
      </c>
    </row>
    <row r="5" spans="1:2" x14ac:dyDescent="0.3">
      <c r="A5" s="2">
        <v>44835</v>
      </c>
      <c r="B5" s="6">
        <v>2.3715035931453841</v>
      </c>
    </row>
    <row r="6" spans="1:2" x14ac:dyDescent="0.3">
      <c r="A6" s="2">
        <v>44866</v>
      </c>
      <c r="B6" s="6">
        <v>2.5163474328278799</v>
      </c>
    </row>
    <row r="7" spans="1:2" x14ac:dyDescent="0.3">
      <c r="A7" s="2">
        <v>44896</v>
      </c>
      <c r="B7" s="6">
        <v>2.731181917211329</v>
      </c>
    </row>
    <row r="8" spans="1:2" x14ac:dyDescent="0.3">
      <c r="A8" s="2">
        <v>44927</v>
      </c>
      <c r="B8" s="6">
        <v>2.3998779342723005</v>
      </c>
    </row>
    <row r="9" spans="1:2" x14ac:dyDescent="0.3">
      <c r="A9" s="2">
        <v>44958</v>
      </c>
      <c r="B9" s="6">
        <v>2.2895430218196791</v>
      </c>
    </row>
    <row r="10" spans="1:2" x14ac:dyDescent="0.3">
      <c r="A10" s="2">
        <v>44986</v>
      </c>
      <c r="B10" s="6">
        <v>5.5359777492511766</v>
      </c>
    </row>
    <row r="11" spans="1:2" ht="15" thickBot="1" x14ac:dyDescent="0.35">
      <c r="A11" s="4">
        <v>45017</v>
      </c>
      <c r="B11" s="7">
        <v>2.3343766060232296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09D-E73D-40D1-9D04-10AF11B98C6E}">
  <dimension ref="A1:H305"/>
  <sheetViews>
    <sheetView tabSelected="1" workbookViewId="0">
      <selection activeCell="U22" sqref="U22"/>
    </sheetView>
  </sheetViews>
  <sheetFormatPr defaultRowHeight="14.4" x14ac:dyDescent="0.3"/>
  <cols>
    <col min="1" max="1" width="10.109375" bestFit="1" customWidth="1"/>
    <col min="3" max="3" width="13.44140625" bestFit="1" customWidth="1"/>
    <col min="7" max="7" width="16.109375" bestFit="1" customWidth="1"/>
    <col min="8" max="8" width="15.109375" bestFit="1" customWidth="1"/>
  </cols>
  <sheetData>
    <row r="1" spans="1:8" ht="15" thickBot="1" x14ac:dyDescent="0.35">
      <c r="A1" s="26" t="s">
        <v>4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10</v>
      </c>
      <c r="H1" s="28" t="s">
        <v>11</v>
      </c>
    </row>
    <row r="2" spans="1:8" x14ac:dyDescent="0.3">
      <c r="A2" s="2">
        <v>44744</v>
      </c>
      <c r="B2" s="8">
        <v>3</v>
      </c>
      <c r="C2" s="9">
        <f>_xlfn.ISOWEEKNUM(A2)</f>
        <v>26</v>
      </c>
      <c r="D2" s="9">
        <f>MONTH(A2)</f>
        <v>7</v>
      </c>
      <c r="E2" s="9">
        <f>VLOOKUP(C2,[3]WAU!A:C,3,0)</f>
        <v>6</v>
      </c>
      <c r="F2" s="9">
        <f>VLOOKUP(D2,[3]MAU!A:C,3,0)</f>
        <v>193</v>
      </c>
      <c r="G2" s="10">
        <f>B2/E2</f>
        <v>0.5</v>
      </c>
      <c r="H2" s="11">
        <f>B2/F2</f>
        <v>1.5544041450777202E-2</v>
      </c>
    </row>
    <row r="3" spans="1:8" x14ac:dyDescent="0.3">
      <c r="A3" s="2">
        <v>44745</v>
      </c>
      <c r="B3" s="8">
        <v>6</v>
      </c>
      <c r="C3" s="9">
        <f t="shared" ref="C3:C66" si="0">_xlfn.ISOWEEKNUM(A3)</f>
        <v>26</v>
      </c>
      <c r="D3" s="9">
        <f t="shared" ref="D3:D66" si="1">MONTH(A3)</f>
        <v>7</v>
      </c>
      <c r="E3" s="9">
        <f>VLOOKUP(C3,[3]WAU!A:C,3,0)</f>
        <v>6</v>
      </c>
      <c r="F3" s="9">
        <f>VLOOKUP(D3,[3]MAU!A:C,3,0)</f>
        <v>193</v>
      </c>
      <c r="G3" s="10">
        <f t="shared" ref="G3:G66" si="2">B3/E3</f>
        <v>1</v>
      </c>
      <c r="H3" s="11">
        <f t="shared" ref="H3:H66" si="3">B3/F3</f>
        <v>3.1088082901554404E-2</v>
      </c>
    </row>
    <row r="4" spans="1:8" x14ac:dyDescent="0.3">
      <c r="A4" s="2">
        <v>44746</v>
      </c>
      <c r="B4" s="8">
        <v>5</v>
      </c>
      <c r="C4" s="9">
        <f t="shared" si="0"/>
        <v>27</v>
      </c>
      <c r="D4" s="9">
        <f t="shared" si="1"/>
        <v>7</v>
      </c>
      <c r="E4" s="9">
        <f>VLOOKUP(C4,[3]WAU!A:C,3,0)</f>
        <v>59</v>
      </c>
      <c r="F4" s="9">
        <f>VLOOKUP(D4,[3]MAU!A:C,3,0)</f>
        <v>193</v>
      </c>
      <c r="G4" s="10">
        <f t="shared" si="2"/>
        <v>8.4745762711864403E-2</v>
      </c>
      <c r="H4" s="11">
        <f t="shared" si="3"/>
        <v>2.5906735751295335E-2</v>
      </c>
    </row>
    <row r="5" spans="1:8" x14ac:dyDescent="0.3">
      <c r="A5" s="2">
        <v>44747</v>
      </c>
      <c r="B5" s="8">
        <v>10</v>
      </c>
      <c r="C5" s="9">
        <f t="shared" si="0"/>
        <v>27</v>
      </c>
      <c r="D5" s="9">
        <f t="shared" si="1"/>
        <v>7</v>
      </c>
      <c r="E5" s="9">
        <f>VLOOKUP(C5,[3]WAU!A:C,3,0)</f>
        <v>59</v>
      </c>
      <c r="F5" s="9">
        <f>VLOOKUP(D5,[3]MAU!A:C,3,0)</f>
        <v>193</v>
      </c>
      <c r="G5" s="10">
        <f t="shared" si="2"/>
        <v>0.16949152542372881</v>
      </c>
      <c r="H5" s="11">
        <f t="shared" si="3"/>
        <v>5.181347150259067E-2</v>
      </c>
    </row>
    <row r="6" spans="1:8" x14ac:dyDescent="0.3">
      <c r="A6" s="2">
        <v>44748</v>
      </c>
      <c r="B6" s="8">
        <v>5</v>
      </c>
      <c r="C6" s="9">
        <f t="shared" si="0"/>
        <v>27</v>
      </c>
      <c r="D6" s="9">
        <f t="shared" si="1"/>
        <v>7</v>
      </c>
      <c r="E6" s="9">
        <f>VLOOKUP(C6,[3]WAU!A:C,3,0)</f>
        <v>59</v>
      </c>
      <c r="F6" s="9">
        <f>VLOOKUP(D6,[3]MAU!A:C,3,0)</f>
        <v>193</v>
      </c>
      <c r="G6" s="10">
        <f t="shared" si="2"/>
        <v>8.4745762711864403E-2</v>
      </c>
      <c r="H6" s="11">
        <f t="shared" si="3"/>
        <v>2.5906735751295335E-2</v>
      </c>
    </row>
    <row r="7" spans="1:8" x14ac:dyDescent="0.3">
      <c r="A7" s="2">
        <v>44749</v>
      </c>
      <c r="B7" s="8">
        <v>13</v>
      </c>
      <c r="C7" s="9">
        <f t="shared" si="0"/>
        <v>27</v>
      </c>
      <c r="D7" s="9">
        <f t="shared" si="1"/>
        <v>7</v>
      </c>
      <c r="E7" s="9">
        <f>VLOOKUP(C7,[3]WAU!A:C,3,0)</f>
        <v>59</v>
      </c>
      <c r="F7" s="9">
        <f>VLOOKUP(D7,[3]MAU!A:C,3,0)</f>
        <v>193</v>
      </c>
      <c r="G7" s="10">
        <f t="shared" si="2"/>
        <v>0.22033898305084745</v>
      </c>
      <c r="H7" s="11">
        <f t="shared" si="3"/>
        <v>6.7357512953367879E-2</v>
      </c>
    </row>
    <row r="8" spans="1:8" x14ac:dyDescent="0.3">
      <c r="A8" s="2">
        <v>44750</v>
      </c>
      <c r="B8" s="8">
        <v>22</v>
      </c>
      <c r="C8" s="9">
        <f t="shared" si="0"/>
        <v>27</v>
      </c>
      <c r="D8" s="9">
        <f t="shared" si="1"/>
        <v>7</v>
      </c>
      <c r="E8" s="9">
        <f>VLOOKUP(C8,[3]WAU!A:C,3,0)</f>
        <v>59</v>
      </c>
      <c r="F8" s="9">
        <f>VLOOKUP(D8,[3]MAU!A:C,3,0)</f>
        <v>193</v>
      </c>
      <c r="G8" s="10">
        <f t="shared" si="2"/>
        <v>0.3728813559322034</v>
      </c>
      <c r="H8" s="11">
        <f t="shared" si="3"/>
        <v>0.11398963730569948</v>
      </c>
    </row>
    <row r="9" spans="1:8" x14ac:dyDescent="0.3">
      <c r="A9" s="2">
        <v>44751</v>
      </c>
      <c r="B9" s="8">
        <v>22</v>
      </c>
      <c r="C9" s="9">
        <f t="shared" si="0"/>
        <v>27</v>
      </c>
      <c r="D9" s="9">
        <f t="shared" si="1"/>
        <v>7</v>
      </c>
      <c r="E9" s="9">
        <f>VLOOKUP(C9,[3]WAU!A:C,3,0)</f>
        <v>59</v>
      </c>
      <c r="F9" s="9">
        <f>VLOOKUP(D9,[3]MAU!A:C,3,0)</f>
        <v>193</v>
      </c>
      <c r="G9" s="10">
        <f t="shared" si="2"/>
        <v>0.3728813559322034</v>
      </c>
      <c r="H9" s="11">
        <f t="shared" si="3"/>
        <v>0.11398963730569948</v>
      </c>
    </row>
    <row r="10" spans="1:8" x14ac:dyDescent="0.3">
      <c r="A10" s="2">
        <v>44752</v>
      </c>
      <c r="B10" s="8">
        <v>26</v>
      </c>
      <c r="C10" s="9">
        <f t="shared" si="0"/>
        <v>27</v>
      </c>
      <c r="D10" s="9">
        <f t="shared" si="1"/>
        <v>7</v>
      </c>
      <c r="E10" s="9">
        <f>VLOOKUP(C10,[3]WAU!A:C,3,0)</f>
        <v>59</v>
      </c>
      <c r="F10" s="9">
        <f>VLOOKUP(D10,[3]MAU!A:C,3,0)</f>
        <v>193</v>
      </c>
      <c r="G10" s="10">
        <f t="shared" si="2"/>
        <v>0.44067796610169491</v>
      </c>
      <c r="H10" s="11">
        <f t="shared" si="3"/>
        <v>0.13471502590673576</v>
      </c>
    </row>
    <row r="11" spans="1:8" x14ac:dyDescent="0.3">
      <c r="A11" s="2">
        <v>44753</v>
      </c>
      <c r="B11" s="8">
        <v>23</v>
      </c>
      <c r="C11" s="9">
        <f t="shared" si="0"/>
        <v>28</v>
      </c>
      <c r="D11" s="9">
        <f t="shared" si="1"/>
        <v>7</v>
      </c>
      <c r="E11" s="9">
        <f>VLOOKUP(C11,[3]WAU!A:C,3,0)</f>
        <v>92</v>
      </c>
      <c r="F11" s="9">
        <f>VLOOKUP(D11,[3]MAU!A:C,3,0)</f>
        <v>193</v>
      </c>
      <c r="G11" s="10">
        <f t="shared" si="2"/>
        <v>0.25</v>
      </c>
      <c r="H11" s="11">
        <f t="shared" si="3"/>
        <v>0.11917098445595854</v>
      </c>
    </row>
    <row r="12" spans="1:8" x14ac:dyDescent="0.3">
      <c r="A12" s="2">
        <v>44754</v>
      </c>
      <c r="B12" s="8">
        <v>24</v>
      </c>
      <c r="C12" s="9">
        <f t="shared" si="0"/>
        <v>28</v>
      </c>
      <c r="D12" s="9">
        <f t="shared" si="1"/>
        <v>7</v>
      </c>
      <c r="E12" s="9">
        <f>VLOOKUP(C12,[3]WAU!A:C,3,0)</f>
        <v>92</v>
      </c>
      <c r="F12" s="9">
        <f>VLOOKUP(D12,[3]MAU!A:C,3,0)</f>
        <v>193</v>
      </c>
      <c r="G12" s="10">
        <f t="shared" si="2"/>
        <v>0.2608695652173913</v>
      </c>
      <c r="H12" s="11">
        <f t="shared" si="3"/>
        <v>0.12435233160621761</v>
      </c>
    </row>
    <row r="13" spans="1:8" x14ac:dyDescent="0.3">
      <c r="A13" s="2">
        <v>44755</v>
      </c>
      <c r="B13" s="8">
        <v>30</v>
      </c>
      <c r="C13" s="9">
        <f t="shared" si="0"/>
        <v>28</v>
      </c>
      <c r="D13" s="9">
        <f t="shared" si="1"/>
        <v>7</v>
      </c>
      <c r="E13" s="9">
        <f>VLOOKUP(C13,[3]WAU!A:C,3,0)</f>
        <v>92</v>
      </c>
      <c r="F13" s="9">
        <f>VLOOKUP(D13,[3]MAU!A:C,3,0)</f>
        <v>193</v>
      </c>
      <c r="G13" s="10">
        <f t="shared" si="2"/>
        <v>0.32608695652173914</v>
      </c>
      <c r="H13" s="11">
        <f t="shared" si="3"/>
        <v>0.15544041450777202</v>
      </c>
    </row>
    <row r="14" spans="1:8" x14ac:dyDescent="0.3">
      <c r="A14" s="2">
        <v>44756</v>
      </c>
      <c r="B14" s="8">
        <v>32</v>
      </c>
      <c r="C14" s="9">
        <f t="shared" si="0"/>
        <v>28</v>
      </c>
      <c r="D14" s="9">
        <f t="shared" si="1"/>
        <v>7</v>
      </c>
      <c r="E14" s="9">
        <f>VLOOKUP(C14,[3]WAU!A:C,3,0)</f>
        <v>92</v>
      </c>
      <c r="F14" s="9">
        <f>VLOOKUP(D14,[3]MAU!A:C,3,0)</f>
        <v>193</v>
      </c>
      <c r="G14" s="10">
        <f t="shared" si="2"/>
        <v>0.34782608695652173</v>
      </c>
      <c r="H14" s="11">
        <f t="shared" si="3"/>
        <v>0.16580310880829016</v>
      </c>
    </row>
    <row r="15" spans="1:8" x14ac:dyDescent="0.3">
      <c r="A15" s="2">
        <v>44757</v>
      </c>
      <c r="B15" s="8">
        <v>25</v>
      </c>
      <c r="C15" s="9">
        <f t="shared" si="0"/>
        <v>28</v>
      </c>
      <c r="D15" s="9">
        <f t="shared" si="1"/>
        <v>7</v>
      </c>
      <c r="E15" s="9">
        <f>VLOOKUP(C15,[3]WAU!A:C,3,0)</f>
        <v>92</v>
      </c>
      <c r="F15" s="9">
        <f>VLOOKUP(D15,[3]MAU!A:C,3,0)</f>
        <v>193</v>
      </c>
      <c r="G15" s="10">
        <f t="shared" si="2"/>
        <v>0.27173913043478259</v>
      </c>
      <c r="H15" s="11">
        <f t="shared" si="3"/>
        <v>0.12953367875647667</v>
      </c>
    </row>
    <row r="16" spans="1:8" x14ac:dyDescent="0.3">
      <c r="A16" s="2">
        <v>44758</v>
      </c>
      <c r="B16" s="8">
        <v>34</v>
      </c>
      <c r="C16" s="9">
        <f t="shared" si="0"/>
        <v>28</v>
      </c>
      <c r="D16" s="9">
        <f t="shared" si="1"/>
        <v>7</v>
      </c>
      <c r="E16" s="9">
        <f>VLOOKUP(C16,[3]WAU!A:C,3,0)</f>
        <v>92</v>
      </c>
      <c r="F16" s="9">
        <f>VLOOKUP(D16,[3]MAU!A:C,3,0)</f>
        <v>193</v>
      </c>
      <c r="G16" s="10">
        <f t="shared" si="2"/>
        <v>0.36956521739130432</v>
      </c>
      <c r="H16" s="11">
        <f t="shared" si="3"/>
        <v>0.17616580310880828</v>
      </c>
    </row>
    <row r="17" spans="1:8" x14ac:dyDescent="0.3">
      <c r="A17" s="2">
        <v>44759</v>
      </c>
      <c r="B17" s="8">
        <v>39</v>
      </c>
      <c r="C17" s="9">
        <f t="shared" si="0"/>
        <v>28</v>
      </c>
      <c r="D17" s="9">
        <f t="shared" si="1"/>
        <v>7</v>
      </c>
      <c r="E17" s="9">
        <f>VLOOKUP(C17,[3]WAU!A:C,3,0)</f>
        <v>92</v>
      </c>
      <c r="F17" s="9">
        <f>VLOOKUP(D17,[3]MAU!A:C,3,0)</f>
        <v>193</v>
      </c>
      <c r="G17" s="10">
        <f t="shared" si="2"/>
        <v>0.42391304347826086</v>
      </c>
      <c r="H17" s="11">
        <f t="shared" si="3"/>
        <v>0.20207253886010362</v>
      </c>
    </row>
    <row r="18" spans="1:8" x14ac:dyDescent="0.3">
      <c r="A18" s="2">
        <v>44760</v>
      </c>
      <c r="B18" s="8">
        <v>22</v>
      </c>
      <c r="C18" s="9">
        <f t="shared" si="0"/>
        <v>29</v>
      </c>
      <c r="D18" s="9">
        <f t="shared" si="1"/>
        <v>7</v>
      </c>
      <c r="E18" s="9">
        <f>VLOOKUP(C18,[3]WAU!A:C,3,0)</f>
        <v>133</v>
      </c>
      <c r="F18" s="9">
        <f>VLOOKUP(D18,[3]MAU!A:C,3,0)</f>
        <v>193</v>
      </c>
      <c r="G18" s="10">
        <f t="shared" si="2"/>
        <v>0.16541353383458646</v>
      </c>
      <c r="H18" s="11">
        <f t="shared" si="3"/>
        <v>0.11398963730569948</v>
      </c>
    </row>
    <row r="19" spans="1:8" x14ac:dyDescent="0.3">
      <c r="A19" s="2">
        <v>44761</v>
      </c>
      <c r="B19" s="8">
        <v>38</v>
      </c>
      <c r="C19" s="9">
        <f t="shared" si="0"/>
        <v>29</v>
      </c>
      <c r="D19" s="9">
        <f t="shared" si="1"/>
        <v>7</v>
      </c>
      <c r="E19" s="9">
        <f>VLOOKUP(C19,[3]WAU!A:C,3,0)</f>
        <v>133</v>
      </c>
      <c r="F19" s="9">
        <f>VLOOKUP(D19,[3]MAU!A:C,3,0)</f>
        <v>193</v>
      </c>
      <c r="G19" s="10">
        <f t="shared" si="2"/>
        <v>0.2857142857142857</v>
      </c>
      <c r="H19" s="11">
        <f t="shared" si="3"/>
        <v>0.19689119170984457</v>
      </c>
    </row>
    <row r="20" spans="1:8" x14ac:dyDescent="0.3">
      <c r="A20" s="2">
        <v>44762</v>
      </c>
      <c r="B20" s="8">
        <v>34</v>
      </c>
      <c r="C20" s="9">
        <f t="shared" si="0"/>
        <v>29</v>
      </c>
      <c r="D20" s="9">
        <f t="shared" si="1"/>
        <v>7</v>
      </c>
      <c r="E20" s="9">
        <f>VLOOKUP(C20,[3]WAU!A:C,3,0)</f>
        <v>133</v>
      </c>
      <c r="F20" s="9">
        <f>VLOOKUP(D20,[3]MAU!A:C,3,0)</f>
        <v>193</v>
      </c>
      <c r="G20" s="10">
        <f t="shared" si="2"/>
        <v>0.25563909774436089</v>
      </c>
      <c r="H20" s="11">
        <f t="shared" si="3"/>
        <v>0.17616580310880828</v>
      </c>
    </row>
    <row r="21" spans="1:8" x14ac:dyDescent="0.3">
      <c r="A21" s="2">
        <v>44763</v>
      </c>
      <c r="B21" s="8">
        <v>50</v>
      </c>
      <c r="C21" s="9">
        <f t="shared" si="0"/>
        <v>29</v>
      </c>
      <c r="D21" s="9">
        <f t="shared" si="1"/>
        <v>7</v>
      </c>
      <c r="E21" s="9">
        <f>VLOOKUP(C21,[3]WAU!A:C,3,0)</f>
        <v>133</v>
      </c>
      <c r="F21" s="9">
        <f>VLOOKUP(D21,[3]MAU!A:C,3,0)</f>
        <v>193</v>
      </c>
      <c r="G21" s="10">
        <f t="shared" si="2"/>
        <v>0.37593984962406013</v>
      </c>
      <c r="H21" s="11">
        <f t="shared" si="3"/>
        <v>0.25906735751295334</v>
      </c>
    </row>
    <row r="22" spans="1:8" x14ac:dyDescent="0.3">
      <c r="A22" s="2">
        <v>44764</v>
      </c>
      <c r="B22" s="8">
        <v>43</v>
      </c>
      <c r="C22" s="9">
        <f t="shared" si="0"/>
        <v>29</v>
      </c>
      <c r="D22" s="9">
        <f t="shared" si="1"/>
        <v>7</v>
      </c>
      <c r="E22" s="9">
        <f>VLOOKUP(C22,[3]WAU!A:C,3,0)</f>
        <v>133</v>
      </c>
      <c r="F22" s="9">
        <f>VLOOKUP(D22,[3]MAU!A:C,3,0)</f>
        <v>193</v>
      </c>
      <c r="G22" s="10">
        <f t="shared" si="2"/>
        <v>0.32330827067669171</v>
      </c>
      <c r="H22" s="11">
        <f t="shared" si="3"/>
        <v>0.22279792746113988</v>
      </c>
    </row>
    <row r="23" spans="1:8" x14ac:dyDescent="0.3">
      <c r="A23" s="2">
        <v>44765</v>
      </c>
      <c r="B23" s="8">
        <v>43</v>
      </c>
      <c r="C23" s="9">
        <f t="shared" si="0"/>
        <v>29</v>
      </c>
      <c r="D23" s="9">
        <f t="shared" si="1"/>
        <v>7</v>
      </c>
      <c r="E23" s="9">
        <f>VLOOKUP(C23,[3]WAU!A:C,3,0)</f>
        <v>133</v>
      </c>
      <c r="F23" s="9">
        <f>VLOOKUP(D23,[3]MAU!A:C,3,0)</f>
        <v>193</v>
      </c>
      <c r="G23" s="10">
        <f t="shared" si="2"/>
        <v>0.32330827067669171</v>
      </c>
      <c r="H23" s="11">
        <f t="shared" si="3"/>
        <v>0.22279792746113988</v>
      </c>
    </row>
    <row r="24" spans="1:8" x14ac:dyDescent="0.3">
      <c r="A24" s="2">
        <v>44766</v>
      </c>
      <c r="B24" s="8">
        <v>53</v>
      </c>
      <c r="C24" s="9">
        <f t="shared" si="0"/>
        <v>29</v>
      </c>
      <c r="D24" s="9">
        <f t="shared" si="1"/>
        <v>7</v>
      </c>
      <c r="E24" s="9">
        <f>VLOOKUP(C24,[3]WAU!A:C,3,0)</f>
        <v>133</v>
      </c>
      <c r="F24" s="9">
        <f>VLOOKUP(D24,[3]MAU!A:C,3,0)</f>
        <v>193</v>
      </c>
      <c r="G24" s="10">
        <f t="shared" si="2"/>
        <v>0.39849624060150374</v>
      </c>
      <c r="H24" s="11">
        <f t="shared" si="3"/>
        <v>0.27461139896373055</v>
      </c>
    </row>
    <row r="25" spans="1:8" x14ac:dyDescent="0.3">
      <c r="A25" s="2">
        <v>44767</v>
      </c>
      <c r="B25" s="8">
        <v>63</v>
      </c>
      <c r="C25" s="9">
        <f t="shared" si="0"/>
        <v>30</v>
      </c>
      <c r="D25" s="9">
        <f t="shared" si="1"/>
        <v>7</v>
      </c>
      <c r="E25" s="9">
        <f>VLOOKUP(C25,[3]WAU!A:C,3,0)</f>
        <v>183</v>
      </c>
      <c r="F25" s="9">
        <f>VLOOKUP(D25,[3]MAU!A:C,3,0)</f>
        <v>193</v>
      </c>
      <c r="G25" s="10">
        <f t="shared" si="2"/>
        <v>0.34426229508196721</v>
      </c>
      <c r="H25" s="11">
        <f t="shared" si="3"/>
        <v>0.32642487046632124</v>
      </c>
    </row>
    <row r="26" spans="1:8" x14ac:dyDescent="0.3">
      <c r="A26" s="2">
        <v>44768</v>
      </c>
      <c r="B26" s="8">
        <v>48</v>
      </c>
      <c r="C26" s="9">
        <f t="shared" si="0"/>
        <v>30</v>
      </c>
      <c r="D26" s="9">
        <f t="shared" si="1"/>
        <v>7</v>
      </c>
      <c r="E26" s="9">
        <f>VLOOKUP(C26,[3]WAU!A:C,3,0)</f>
        <v>183</v>
      </c>
      <c r="F26" s="9">
        <f>VLOOKUP(D26,[3]MAU!A:C,3,0)</f>
        <v>193</v>
      </c>
      <c r="G26" s="10">
        <f t="shared" si="2"/>
        <v>0.26229508196721313</v>
      </c>
      <c r="H26" s="11">
        <f t="shared" si="3"/>
        <v>0.24870466321243523</v>
      </c>
    </row>
    <row r="27" spans="1:8" x14ac:dyDescent="0.3">
      <c r="A27" s="2">
        <v>44769</v>
      </c>
      <c r="B27" s="8">
        <v>59</v>
      </c>
      <c r="C27" s="9">
        <f t="shared" si="0"/>
        <v>30</v>
      </c>
      <c r="D27" s="9">
        <f t="shared" si="1"/>
        <v>7</v>
      </c>
      <c r="E27" s="9">
        <f>VLOOKUP(C27,[3]WAU!A:C,3,0)</f>
        <v>183</v>
      </c>
      <c r="F27" s="9">
        <f>VLOOKUP(D27,[3]MAU!A:C,3,0)</f>
        <v>193</v>
      </c>
      <c r="G27" s="10">
        <f t="shared" si="2"/>
        <v>0.32240437158469948</v>
      </c>
      <c r="H27" s="11">
        <f t="shared" si="3"/>
        <v>0.30569948186528495</v>
      </c>
    </row>
    <row r="28" spans="1:8" x14ac:dyDescent="0.3">
      <c r="A28" s="2">
        <v>44770</v>
      </c>
      <c r="B28" s="8">
        <v>59</v>
      </c>
      <c r="C28" s="9">
        <f t="shared" si="0"/>
        <v>30</v>
      </c>
      <c r="D28" s="9">
        <f t="shared" si="1"/>
        <v>7</v>
      </c>
      <c r="E28" s="9">
        <f>VLOOKUP(C28,[3]WAU!A:C,3,0)</f>
        <v>183</v>
      </c>
      <c r="F28" s="9">
        <f>VLOOKUP(D28,[3]MAU!A:C,3,0)</f>
        <v>193</v>
      </c>
      <c r="G28" s="10">
        <f t="shared" si="2"/>
        <v>0.32240437158469948</v>
      </c>
      <c r="H28" s="11">
        <f t="shared" si="3"/>
        <v>0.30569948186528495</v>
      </c>
    </row>
    <row r="29" spans="1:8" x14ac:dyDescent="0.3">
      <c r="A29" s="2">
        <v>44771</v>
      </c>
      <c r="B29" s="8">
        <v>61</v>
      </c>
      <c r="C29" s="9">
        <f t="shared" si="0"/>
        <v>30</v>
      </c>
      <c r="D29" s="9">
        <f t="shared" si="1"/>
        <v>7</v>
      </c>
      <c r="E29" s="9">
        <f>VLOOKUP(C29,[3]WAU!A:C,3,0)</f>
        <v>183</v>
      </c>
      <c r="F29" s="9">
        <f>VLOOKUP(D29,[3]MAU!A:C,3,0)</f>
        <v>193</v>
      </c>
      <c r="G29" s="10">
        <f t="shared" si="2"/>
        <v>0.33333333333333331</v>
      </c>
      <c r="H29" s="11">
        <f t="shared" si="3"/>
        <v>0.31606217616580312</v>
      </c>
    </row>
    <row r="30" spans="1:8" x14ac:dyDescent="0.3">
      <c r="A30" s="2">
        <v>44772</v>
      </c>
      <c r="B30" s="8">
        <v>64</v>
      </c>
      <c r="C30" s="9">
        <f t="shared" si="0"/>
        <v>30</v>
      </c>
      <c r="D30" s="9">
        <f t="shared" si="1"/>
        <v>7</v>
      </c>
      <c r="E30" s="9">
        <f>VLOOKUP(C30,[3]WAU!A:C,3,0)</f>
        <v>183</v>
      </c>
      <c r="F30" s="9">
        <f>VLOOKUP(D30,[3]MAU!A:C,3,0)</f>
        <v>193</v>
      </c>
      <c r="G30" s="10">
        <f t="shared" si="2"/>
        <v>0.34972677595628415</v>
      </c>
      <c r="H30" s="11">
        <f t="shared" si="3"/>
        <v>0.33160621761658032</v>
      </c>
    </row>
    <row r="31" spans="1:8" x14ac:dyDescent="0.3">
      <c r="A31" s="2">
        <v>44773</v>
      </c>
      <c r="B31" s="8">
        <v>64</v>
      </c>
      <c r="C31" s="9">
        <f t="shared" si="0"/>
        <v>30</v>
      </c>
      <c r="D31" s="9">
        <f t="shared" si="1"/>
        <v>7</v>
      </c>
      <c r="E31" s="9">
        <f>VLOOKUP(C31,[3]WAU!A:C,3,0)</f>
        <v>183</v>
      </c>
      <c r="F31" s="9">
        <f>VLOOKUP(D31,[3]MAU!A:C,3,0)</f>
        <v>193</v>
      </c>
      <c r="G31" s="10">
        <f t="shared" si="2"/>
        <v>0.34972677595628415</v>
      </c>
      <c r="H31" s="11">
        <f t="shared" si="3"/>
        <v>0.33160621761658032</v>
      </c>
    </row>
    <row r="32" spans="1:8" x14ac:dyDescent="0.3">
      <c r="A32" s="2">
        <v>44774</v>
      </c>
      <c r="B32" s="8">
        <v>52</v>
      </c>
      <c r="C32" s="9">
        <f t="shared" si="0"/>
        <v>31</v>
      </c>
      <c r="D32" s="9">
        <f t="shared" si="1"/>
        <v>8</v>
      </c>
      <c r="E32" s="9">
        <f>VLOOKUP(C32,[3]WAU!A:C,3,0)</f>
        <v>202</v>
      </c>
      <c r="F32" s="9">
        <f>VLOOKUP(D32,[3]MAU!A:C,3,0)</f>
        <v>366</v>
      </c>
      <c r="G32" s="10">
        <f t="shared" si="2"/>
        <v>0.25742574257425743</v>
      </c>
      <c r="H32" s="11">
        <f t="shared" si="3"/>
        <v>0.14207650273224043</v>
      </c>
    </row>
    <row r="33" spans="1:8" x14ac:dyDescent="0.3">
      <c r="A33" s="2">
        <v>44775</v>
      </c>
      <c r="B33" s="8">
        <v>62</v>
      </c>
      <c r="C33" s="9">
        <f t="shared" si="0"/>
        <v>31</v>
      </c>
      <c r="D33" s="9">
        <f t="shared" si="1"/>
        <v>8</v>
      </c>
      <c r="E33" s="9">
        <f>VLOOKUP(C33,[3]WAU!A:C,3,0)</f>
        <v>202</v>
      </c>
      <c r="F33" s="9">
        <f>VLOOKUP(D33,[3]MAU!A:C,3,0)</f>
        <v>366</v>
      </c>
      <c r="G33" s="10">
        <f t="shared" si="2"/>
        <v>0.30693069306930693</v>
      </c>
      <c r="H33" s="11">
        <f t="shared" si="3"/>
        <v>0.16939890710382513</v>
      </c>
    </row>
    <row r="34" spans="1:8" x14ac:dyDescent="0.3">
      <c r="A34" s="2">
        <v>44776</v>
      </c>
      <c r="B34" s="8">
        <v>55</v>
      </c>
      <c r="C34" s="9">
        <f t="shared" si="0"/>
        <v>31</v>
      </c>
      <c r="D34" s="9">
        <f t="shared" si="1"/>
        <v>8</v>
      </c>
      <c r="E34" s="9">
        <f>VLOOKUP(C34,[3]WAU!A:C,3,0)</f>
        <v>202</v>
      </c>
      <c r="F34" s="9">
        <f>VLOOKUP(D34,[3]MAU!A:C,3,0)</f>
        <v>366</v>
      </c>
      <c r="G34" s="10">
        <f t="shared" si="2"/>
        <v>0.2722772277227723</v>
      </c>
      <c r="H34" s="11">
        <f t="shared" si="3"/>
        <v>0.15027322404371585</v>
      </c>
    </row>
    <row r="35" spans="1:8" x14ac:dyDescent="0.3">
      <c r="A35" s="2">
        <v>44777</v>
      </c>
      <c r="B35" s="8">
        <v>60</v>
      </c>
      <c r="C35" s="9">
        <f t="shared" si="0"/>
        <v>31</v>
      </c>
      <c r="D35" s="9">
        <f t="shared" si="1"/>
        <v>8</v>
      </c>
      <c r="E35" s="9">
        <f>VLOOKUP(C35,[3]WAU!A:C,3,0)</f>
        <v>202</v>
      </c>
      <c r="F35" s="9">
        <f>VLOOKUP(D35,[3]MAU!A:C,3,0)</f>
        <v>366</v>
      </c>
      <c r="G35" s="10">
        <f t="shared" si="2"/>
        <v>0.29702970297029702</v>
      </c>
      <c r="H35" s="11">
        <f t="shared" si="3"/>
        <v>0.16393442622950818</v>
      </c>
    </row>
    <row r="36" spans="1:8" x14ac:dyDescent="0.3">
      <c r="A36" s="2">
        <v>44778</v>
      </c>
      <c r="B36" s="8">
        <v>52</v>
      </c>
      <c r="C36" s="9">
        <f t="shared" si="0"/>
        <v>31</v>
      </c>
      <c r="D36" s="9">
        <f t="shared" si="1"/>
        <v>8</v>
      </c>
      <c r="E36" s="9">
        <f>VLOOKUP(C36,[3]WAU!A:C,3,0)</f>
        <v>202</v>
      </c>
      <c r="F36" s="9">
        <f>VLOOKUP(D36,[3]MAU!A:C,3,0)</f>
        <v>366</v>
      </c>
      <c r="G36" s="10">
        <f t="shared" si="2"/>
        <v>0.25742574257425743</v>
      </c>
      <c r="H36" s="11">
        <f t="shared" si="3"/>
        <v>0.14207650273224043</v>
      </c>
    </row>
    <row r="37" spans="1:8" x14ac:dyDescent="0.3">
      <c r="A37" s="2">
        <v>44779</v>
      </c>
      <c r="B37" s="8">
        <v>62</v>
      </c>
      <c r="C37" s="9">
        <f t="shared" si="0"/>
        <v>31</v>
      </c>
      <c r="D37" s="9">
        <f t="shared" si="1"/>
        <v>8</v>
      </c>
      <c r="E37" s="9">
        <f>VLOOKUP(C37,[3]WAU!A:C,3,0)</f>
        <v>202</v>
      </c>
      <c r="F37" s="9">
        <f>VLOOKUP(D37,[3]MAU!A:C,3,0)</f>
        <v>366</v>
      </c>
      <c r="G37" s="10">
        <f t="shared" si="2"/>
        <v>0.30693069306930693</v>
      </c>
      <c r="H37" s="11">
        <f t="shared" si="3"/>
        <v>0.16939890710382513</v>
      </c>
    </row>
    <row r="38" spans="1:8" x14ac:dyDescent="0.3">
      <c r="A38" s="2">
        <v>44780</v>
      </c>
      <c r="B38" s="8">
        <v>59</v>
      </c>
      <c r="C38" s="9">
        <f t="shared" si="0"/>
        <v>31</v>
      </c>
      <c r="D38" s="9">
        <f t="shared" si="1"/>
        <v>8</v>
      </c>
      <c r="E38" s="9">
        <f>VLOOKUP(C38,[3]WAU!A:C,3,0)</f>
        <v>202</v>
      </c>
      <c r="F38" s="9">
        <f>VLOOKUP(D38,[3]MAU!A:C,3,0)</f>
        <v>366</v>
      </c>
      <c r="G38" s="10">
        <f t="shared" si="2"/>
        <v>0.29207920792079206</v>
      </c>
      <c r="H38" s="11">
        <f t="shared" si="3"/>
        <v>0.16120218579234974</v>
      </c>
    </row>
    <row r="39" spans="1:8" x14ac:dyDescent="0.3">
      <c r="A39" s="2">
        <v>44781</v>
      </c>
      <c r="B39" s="8">
        <v>58</v>
      </c>
      <c r="C39" s="9">
        <f t="shared" si="0"/>
        <v>32</v>
      </c>
      <c r="D39" s="9">
        <f t="shared" si="1"/>
        <v>8</v>
      </c>
      <c r="E39" s="9">
        <f>VLOOKUP(C39,[3]WAU!A:C,3,0)</f>
        <v>193</v>
      </c>
      <c r="F39" s="9">
        <f>VLOOKUP(D39,[3]MAU!A:C,3,0)</f>
        <v>366</v>
      </c>
      <c r="G39" s="10">
        <f t="shared" si="2"/>
        <v>0.30051813471502592</v>
      </c>
      <c r="H39" s="11">
        <f t="shared" si="3"/>
        <v>0.15846994535519127</v>
      </c>
    </row>
    <row r="40" spans="1:8" x14ac:dyDescent="0.3">
      <c r="A40" s="2">
        <v>44782</v>
      </c>
      <c r="B40" s="8">
        <v>53</v>
      </c>
      <c r="C40" s="9">
        <f t="shared" si="0"/>
        <v>32</v>
      </c>
      <c r="D40" s="9">
        <f t="shared" si="1"/>
        <v>8</v>
      </c>
      <c r="E40" s="9">
        <f>VLOOKUP(C40,[3]WAU!A:C,3,0)</f>
        <v>193</v>
      </c>
      <c r="F40" s="9">
        <f>VLOOKUP(D40,[3]MAU!A:C,3,0)</f>
        <v>366</v>
      </c>
      <c r="G40" s="10">
        <f t="shared" si="2"/>
        <v>0.27461139896373055</v>
      </c>
      <c r="H40" s="11">
        <f t="shared" si="3"/>
        <v>0.1448087431693989</v>
      </c>
    </row>
    <row r="41" spans="1:8" x14ac:dyDescent="0.3">
      <c r="A41" s="2">
        <v>44783</v>
      </c>
      <c r="B41" s="8">
        <v>55</v>
      </c>
      <c r="C41" s="9">
        <f t="shared" si="0"/>
        <v>32</v>
      </c>
      <c r="D41" s="9">
        <f t="shared" si="1"/>
        <v>8</v>
      </c>
      <c r="E41" s="9">
        <f>VLOOKUP(C41,[3]WAU!A:C,3,0)</f>
        <v>193</v>
      </c>
      <c r="F41" s="9">
        <f>VLOOKUP(D41,[3]MAU!A:C,3,0)</f>
        <v>366</v>
      </c>
      <c r="G41" s="10">
        <f t="shared" si="2"/>
        <v>0.28497409326424872</v>
      </c>
      <c r="H41" s="11">
        <f t="shared" si="3"/>
        <v>0.15027322404371585</v>
      </c>
    </row>
    <row r="42" spans="1:8" x14ac:dyDescent="0.3">
      <c r="A42" s="2">
        <v>44784</v>
      </c>
      <c r="B42" s="8">
        <v>65</v>
      </c>
      <c r="C42" s="9">
        <f t="shared" si="0"/>
        <v>32</v>
      </c>
      <c r="D42" s="9">
        <f t="shared" si="1"/>
        <v>8</v>
      </c>
      <c r="E42" s="9">
        <f>VLOOKUP(C42,[3]WAU!A:C,3,0)</f>
        <v>193</v>
      </c>
      <c r="F42" s="9">
        <f>VLOOKUP(D42,[3]MAU!A:C,3,0)</f>
        <v>366</v>
      </c>
      <c r="G42" s="10">
        <f t="shared" si="2"/>
        <v>0.33678756476683935</v>
      </c>
      <c r="H42" s="11">
        <f t="shared" si="3"/>
        <v>0.17759562841530055</v>
      </c>
    </row>
    <row r="43" spans="1:8" x14ac:dyDescent="0.3">
      <c r="A43" s="2">
        <v>44785</v>
      </c>
      <c r="B43" s="8">
        <v>54</v>
      </c>
      <c r="C43" s="9">
        <f t="shared" si="0"/>
        <v>32</v>
      </c>
      <c r="D43" s="9">
        <f t="shared" si="1"/>
        <v>8</v>
      </c>
      <c r="E43" s="9">
        <f>VLOOKUP(C43,[3]WAU!A:C,3,0)</f>
        <v>193</v>
      </c>
      <c r="F43" s="9">
        <f>VLOOKUP(D43,[3]MAU!A:C,3,0)</f>
        <v>366</v>
      </c>
      <c r="G43" s="10">
        <f t="shared" si="2"/>
        <v>0.27979274611398963</v>
      </c>
      <c r="H43" s="11">
        <f t="shared" si="3"/>
        <v>0.14754098360655737</v>
      </c>
    </row>
    <row r="44" spans="1:8" x14ac:dyDescent="0.3">
      <c r="A44" s="2">
        <v>44786</v>
      </c>
      <c r="B44" s="8">
        <v>74</v>
      </c>
      <c r="C44" s="9">
        <f t="shared" si="0"/>
        <v>32</v>
      </c>
      <c r="D44" s="9">
        <f t="shared" si="1"/>
        <v>8</v>
      </c>
      <c r="E44" s="9">
        <f>VLOOKUP(C44,[3]WAU!A:C,3,0)</f>
        <v>193</v>
      </c>
      <c r="F44" s="9">
        <f>VLOOKUP(D44,[3]MAU!A:C,3,0)</f>
        <v>366</v>
      </c>
      <c r="G44" s="10">
        <f t="shared" si="2"/>
        <v>0.38341968911917096</v>
      </c>
      <c r="H44" s="11">
        <f t="shared" si="3"/>
        <v>0.20218579234972678</v>
      </c>
    </row>
    <row r="45" spans="1:8" x14ac:dyDescent="0.3">
      <c r="A45" s="2">
        <v>44787</v>
      </c>
      <c r="B45" s="8">
        <v>59</v>
      </c>
      <c r="C45" s="9">
        <f t="shared" si="0"/>
        <v>32</v>
      </c>
      <c r="D45" s="9">
        <f t="shared" si="1"/>
        <v>8</v>
      </c>
      <c r="E45" s="9">
        <f>VLOOKUP(C45,[3]WAU!A:C,3,0)</f>
        <v>193</v>
      </c>
      <c r="F45" s="9">
        <f>VLOOKUP(D45,[3]MAU!A:C,3,0)</f>
        <v>366</v>
      </c>
      <c r="G45" s="10">
        <f t="shared" si="2"/>
        <v>0.30569948186528495</v>
      </c>
      <c r="H45" s="11">
        <f t="shared" si="3"/>
        <v>0.16120218579234974</v>
      </c>
    </row>
    <row r="46" spans="1:8" x14ac:dyDescent="0.3">
      <c r="A46" s="2">
        <v>44788</v>
      </c>
      <c r="B46" s="8">
        <v>54</v>
      </c>
      <c r="C46" s="9">
        <f t="shared" si="0"/>
        <v>33</v>
      </c>
      <c r="D46" s="9">
        <f t="shared" si="1"/>
        <v>8</v>
      </c>
      <c r="E46" s="9">
        <f>VLOOKUP(C46,[3]WAU!A:C,3,0)</f>
        <v>201</v>
      </c>
      <c r="F46" s="9">
        <f>VLOOKUP(D46,[3]MAU!A:C,3,0)</f>
        <v>366</v>
      </c>
      <c r="G46" s="10">
        <f t="shared" si="2"/>
        <v>0.26865671641791045</v>
      </c>
      <c r="H46" s="11">
        <f t="shared" si="3"/>
        <v>0.14754098360655737</v>
      </c>
    </row>
    <row r="47" spans="1:8" x14ac:dyDescent="0.3">
      <c r="A47" s="2">
        <v>44789</v>
      </c>
      <c r="B47" s="8">
        <v>68</v>
      </c>
      <c r="C47" s="9">
        <f t="shared" si="0"/>
        <v>33</v>
      </c>
      <c r="D47" s="9">
        <f t="shared" si="1"/>
        <v>8</v>
      </c>
      <c r="E47" s="9">
        <f>VLOOKUP(C47,[3]WAU!A:C,3,0)</f>
        <v>201</v>
      </c>
      <c r="F47" s="9">
        <f>VLOOKUP(D47,[3]MAU!A:C,3,0)</f>
        <v>366</v>
      </c>
      <c r="G47" s="10">
        <f t="shared" si="2"/>
        <v>0.3383084577114428</v>
      </c>
      <c r="H47" s="11">
        <f t="shared" si="3"/>
        <v>0.18579234972677597</v>
      </c>
    </row>
    <row r="48" spans="1:8" x14ac:dyDescent="0.3">
      <c r="A48" s="2">
        <v>44790</v>
      </c>
      <c r="B48" s="8">
        <v>59</v>
      </c>
      <c r="C48" s="9">
        <f t="shared" si="0"/>
        <v>33</v>
      </c>
      <c r="D48" s="9">
        <f t="shared" si="1"/>
        <v>8</v>
      </c>
      <c r="E48" s="9">
        <f>VLOOKUP(C48,[3]WAU!A:C,3,0)</f>
        <v>201</v>
      </c>
      <c r="F48" s="9">
        <f>VLOOKUP(D48,[3]MAU!A:C,3,0)</f>
        <v>366</v>
      </c>
      <c r="G48" s="10">
        <f t="shared" si="2"/>
        <v>0.29353233830845771</v>
      </c>
      <c r="H48" s="11">
        <f t="shared" si="3"/>
        <v>0.16120218579234974</v>
      </c>
    </row>
    <row r="49" spans="1:8" x14ac:dyDescent="0.3">
      <c r="A49" s="2">
        <v>44791</v>
      </c>
      <c r="B49" s="8">
        <v>61</v>
      </c>
      <c r="C49" s="9">
        <f t="shared" si="0"/>
        <v>33</v>
      </c>
      <c r="D49" s="9">
        <f t="shared" si="1"/>
        <v>8</v>
      </c>
      <c r="E49" s="9">
        <f>VLOOKUP(C49,[3]WAU!A:C,3,0)</f>
        <v>201</v>
      </c>
      <c r="F49" s="9">
        <f>VLOOKUP(D49,[3]MAU!A:C,3,0)</f>
        <v>366</v>
      </c>
      <c r="G49" s="10">
        <f t="shared" si="2"/>
        <v>0.30348258706467662</v>
      </c>
      <c r="H49" s="11">
        <f t="shared" si="3"/>
        <v>0.16666666666666666</v>
      </c>
    </row>
    <row r="50" spans="1:8" x14ac:dyDescent="0.3">
      <c r="A50" s="2">
        <v>44792</v>
      </c>
      <c r="B50" s="8">
        <v>58</v>
      </c>
      <c r="C50" s="9">
        <f t="shared" si="0"/>
        <v>33</v>
      </c>
      <c r="D50" s="9">
        <f t="shared" si="1"/>
        <v>8</v>
      </c>
      <c r="E50" s="9">
        <f>VLOOKUP(C50,[3]WAU!A:C,3,0)</f>
        <v>201</v>
      </c>
      <c r="F50" s="9">
        <f>VLOOKUP(D50,[3]MAU!A:C,3,0)</f>
        <v>366</v>
      </c>
      <c r="G50" s="10">
        <f t="shared" si="2"/>
        <v>0.28855721393034828</v>
      </c>
      <c r="H50" s="11">
        <f t="shared" si="3"/>
        <v>0.15846994535519127</v>
      </c>
    </row>
    <row r="51" spans="1:8" x14ac:dyDescent="0.3">
      <c r="A51" s="2">
        <v>44793</v>
      </c>
      <c r="B51" s="8">
        <v>67</v>
      </c>
      <c r="C51" s="9">
        <f t="shared" si="0"/>
        <v>33</v>
      </c>
      <c r="D51" s="9">
        <f t="shared" si="1"/>
        <v>8</v>
      </c>
      <c r="E51" s="9">
        <f>VLOOKUP(C51,[3]WAU!A:C,3,0)</f>
        <v>201</v>
      </c>
      <c r="F51" s="9">
        <f>VLOOKUP(D51,[3]MAU!A:C,3,0)</f>
        <v>366</v>
      </c>
      <c r="G51" s="10">
        <f t="shared" si="2"/>
        <v>0.33333333333333331</v>
      </c>
      <c r="H51" s="11">
        <f t="shared" si="3"/>
        <v>0.1830601092896175</v>
      </c>
    </row>
    <row r="52" spans="1:8" x14ac:dyDescent="0.3">
      <c r="A52" s="2">
        <v>44794</v>
      </c>
      <c r="B52" s="8">
        <v>62</v>
      </c>
      <c r="C52" s="9">
        <f t="shared" si="0"/>
        <v>33</v>
      </c>
      <c r="D52" s="9">
        <f t="shared" si="1"/>
        <v>8</v>
      </c>
      <c r="E52" s="9">
        <f>VLOOKUP(C52,[3]WAU!A:C,3,0)</f>
        <v>201</v>
      </c>
      <c r="F52" s="9">
        <f>VLOOKUP(D52,[3]MAU!A:C,3,0)</f>
        <v>366</v>
      </c>
      <c r="G52" s="10">
        <f t="shared" si="2"/>
        <v>0.30845771144278605</v>
      </c>
      <c r="H52" s="11">
        <f t="shared" si="3"/>
        <v>0.16939890710382513</v>
      </c>
    </row>
    <row r="53" spans="1:8" x14ac:dyDescent="0.3">
      <c r="A53" s="2">
        <v>44795</v>
      </c>
      <c r="B53" s="8">
        <v>53</v>
      </c>
      <c r="C53" s="9">
        <f t="shared" si="0"/>
        <v>34</v>
      </c>
      <c r="D53" s="9">
        <f t="shared" si="1"/>
        <v>8</v>
      </c>
      <c r="E53" s="9">
        <f>VLOOKUP(C53,[3]WAU!A:C,3,0)</f>
        <v>206</v>
      </c>
      <c r="F53" s="9">
        <f>VLOOKUP(D53,[3]MAU!A:C,3,0)</f>
        <v>366</v>
      </c>
      <c r="G53" s="10">
        <f t="shared" si="2"/>
        <v>0.25728155339805825</v>
      </c>
      <c r="H53" s="11">
        <f t="shared" si="3"/>
        <v>0.1448087431693989</v>
      </c>
    </row>
    <row r="54" spans="1:8" x14ac:dyDescent="0.3">
      <c r="A54" s="2">
        <v>44796</v>
      </c>
      <c r="B54" s="8">
        <v>60</v>
      </c>
      <c r="C54" s="9">
        <f t="shared" si="0"/>
        <v>34</v>
      </c>
      <c r="D54" s="9">
        <f t="shared" si="1"/>
        <v>8</v>
      </c>
      <c r="E54" s="9">
        <f>VLOOKUP(C54,[3]WAU!A:C,3,0)</f>
        <v>206</v>
      </c>
      <c r="F54" s="9">
        <f>VLOOKUP(D54,[3]MAU!A:C,3,0)</f>
        <v>366</v>
      </c>
      <c r="G54" s="10">
        <f t="shared" si="2"/>
        <v>0.29126213592233008</v>
      </c>
      <c r="H54" s="11">
        <f t="shared" si="3"/>
        <v>0.16393442622950818</v>
      </c>
    </row>
    <row r="55" spans="1:8" x14ac:dyDescent="0.3">
      <c r="A55" s="2">
        <v>44797</v>
      </c>
      <c r="B55" s="8">
        <v>67</v>
      </c>
      <c r="C55" s="9">
        <f t="shared" si="0"/>
        <v>34</v>
      </c>
      <c r="D55" s="9">
        <f t="shared" si="1"/>
        <v>8</v>
      </c>
      <c r="E55" s="9">
        <f>VLOOKUP(C55,[3]WAU!A:C,3,0)</f>
        <v>206</v>
      </c>
      <c r="F55" s="9">
        <f>VLOOKUP(D55,[3]MAU!A:C,3,0)</f>
        <v>366</v>
      </c>
      <c r="G55" s="10">
        <f t="shared" si="2"/>
        <v>0.32524271844660196</v>
      </c>
      <c r="H55" s="11">
        <f t="shared" si="3"/>
        <v>0.1830601092896175</v>
      </c>
    </row>
    <row r="56" spans="1:8" x14ac:dyDescent="0.3">
      <c r="A56" s="2">
        <v>44798</v>
      </c>
      <c r="B56" s="8">
        <v>67</v>
      </c>
      <c r="C56" s="9">
        <f t="shared" si="0"/>
        <v>34</v>
      </c>
      <c r="D56" s="9">
        <f t="shared" si="1"/>
        <v>8</v>
      </c>
      <c r="E56" s="9">
        <f>VLOOKUP(C56,[3]WAU!A:C,3,0)</f>
        <v>206</v>
      </c>
      <c r="F56" s="9">
        <f>VLOOKUP(D56,[3]MAU!A:C,3,0)</f>
        <v>366</v>
      </c>
      <c r="G56" s="10">
        <f t="shared" si="2"/>
        <v>0.32524271844660196</v>
      </c>
      <c r="H56" s="11">
        <f t="shared" si="3"/>
        <v>0.1830601092896175</v>
      </c>
    </row>
    <row r="57" spans="1:8" x14ac:dyDescent="0.3">
      <c r="A57" s="2">
        <v>44799</v>
      </c>
      <c r="B57" s="8">
        <v>61</v>
      </c>
      <c r="C57" s="9">
        <f t="shared" si="0"/>
        <v>34</v>
      </c>
      <c r="D57" s="9">
        <f t="shared" si="1"/>
        <v>8</v>
      </c>
      <c r="E57" s="9">
        <f>VLOOKUP(C57,[3]WAU!A:C,3,0)</f>
        <v>206</v>
      </c>
      <c r="F57" s="9">
        <f>VLOOKUP(D57,[3]MAU!A:C,3,0)</f>
        <v>366</v>
      </c>
      <c r="G57" s="10">
        <f t="shared" si="2"/>
        <v>0.29611650485436891</v>
      </c>
      <c r="H57" s="11">
        <f t="shared" si="3"/>
        <v>0.16666666666666666</v>
      </c>
    </row>
    <row r="58" spans="1:8" x14ac:dyDescent="0.3">
      <c r="A58" s="2">
        <v>44800</v>
      </c>
      <c r="B58" s="8">
        <v>63</v>
      </c>
      <c r="C58" s="9">
        <f t="shared" si="0"/>
        <v>34</v>
      </c>
      <c r="D58" s="9">
        <f t="shared" si="1"/>
        <v>8</v>
      </c>
      <c r="E58" s="9">
        <f>VLOOKUP(C58,[3]WAU!A:C,3,0)</f>
        <v>206</v>
      </c>
      <c r="F58" s="9">
        <f>VLOOKUP(D58,[3]MAU!A:C,3,0)</f>
        <v>366</v>
      </c>
      <c r="G58" s="10">
        <f t="shared" si="2"/>
        <v>0.30582524271844658</v>
      </c>
      <c r="H58" s="11">
        <f t="shared" si="3"/>
        <v>0.1721311475409836</v>
      </c>
    </row>
    <row r="59" spans="1:8" x14ac:dyDescent="0.3">
      <c r="A59" s="2">
        <v>44801</v>
      </c>
      <c r="B59" s="8">
        <v>61</v>
      </c>
      <c r="C59" s="9">
        <f t="shared" si="0"/>
        <v>34</v>
      </c>
      <c r="D59" s="9">
        <f t="shared" si="1"/>
        <v>8</v>
      </c>
      <c r="E59" s="9">
        <f>VLOOKUP(C59,[3]WAU!A:C,3,0)</f>
        <v>206</v>
      </c>
      <c r="F59" s="9">
        <f>VLOOKUP(D59,[3]MAU!A:C,3,0)</f>
        <v>366</v>
      </c>
      <c r="G59" s="10">
        <f t="shared" si="2"/>
        <v>0.29611650485436891</v>
      </c>
      <c r="H59" s="11">
        <f t="shared" si="3"/>
        <v>0.16666666666666666</v>
      </c>
    </row>
    <row r="60" spans="1:8" x14ac:dyDescent="0.3">
      <c r="A60" s="2">
        <v>44802</v>
      </c>
      <c r="B60" s="8">
        <v>54</v>
      </c>
      <c r="C60" s="9">
        <f t="shared" si="0"/>
        <v>35</v>
      </c>
      <c r="D60" s="9">
        <f t="shared" si="1"/>
        <v>8</v>
      </c>
      <c r="E60" s="9">
        <f>VLOOKUP(C60,[3]WAU!A:C,3,0)</f>
        <v>192</v>
      </c>
      <c r="F60" s="9">
        <f>VLOOKUP(D60,[3]MAU!A:C,3,0)</f>
        <v>366</v>
      </c>
      <c r="G60" s="10">
        <f t="shared" si="2"/>
        <v>0.28125</v>
      </c>
      <c r="H60" s="11">
        <f t="shared" si="3"/>
        <v>0.14754098360655737</v>
      </c>
    </row>
    <row r="61" spans="1:8" x14ac:dyDescent="0.3">
      <c r="A61" s="2">
        <v>44803</v>
      </c>
      <c r="B61" s="8">
        <v>72</v>
      </c>
      <c r="C61" s="9">
        <f t="shared" si="0"/>
        <v>35</v>
      </c>
      <c r="D61" s="9">
        <f t="shared" si="1"/>
        <v>8</v>
      </c>
      <c r="E61" s="9">
        <f>VLOOKUP(C61,[3]WAU!A:C,3,0)</f>
        <v>192</v>
      </c>
      <c r="F61" s="9">
        <f>VLOOKUP(D61,[3]MAU!A:C,3,0)</f>
        <v>366</v>
      </c>
      <c r="G61" s="10">
        <f t="shared" si="2"/>
        <v>0.375</v>
      </c>
      <c r="H61" s="11">
        <f t="shared" si="3"/>
        <v>0.19672131147540983</v>
      </c>
    </row>
    <row r="62" spans="1:8" x14ac:dyDescent="0.3">
      <c r="A62" s="2">
        <v>44804</v>
      </c>
      <c r="B62" s="8">
        <v>54</v>
      </c>
      <c r="C62" s="9">
        <f t="shared" si="0"/>
        <v>35</v>
      </c>
      <c r="D62" s="9">
        <f t="shared" si="1"/>
        <v>8</v>
      </c>
      <c r="E62" s="9">
        <f>VLOOKUP(C62,[3]WAU!A:C,3,0)</f>
        <v>192</v>
      </c>
      <c r="F62" s="9">
        <f>VLOOKUP(D62,[3]MAU!A:C,3,0)</f>
        <v>366</v>
      </c>
      <c r="G62" s="10">
        <f t="shared" si="2"/>
        <v>0.28125</v>
      </c>
      <c r="H62" s="11">
        <f t="shared" si="3"/>
        <v>0.14754098360655737</v>
      </c>
    </row>
    <row r="63" spans="1:8" x14ac:dyDescent="0.3">
      <c r="A63" s="2">
        <v>44805</v>
      </c>
      <c r="B63" s="8">
        <v>66</v>
      </c>
      <c r="C63" s="9">
        <f t="shared" si="0"/>
        <v>35</v>
      </c>
      <c r="D63" s="9">
        <f t="shared" si="1"/>
        <v>9</v>
      </c>
      <c r="E63" s="9">
        <f>VLOOKUP(C63,[3]WAU!A:C,3,0)</f>
        <v>192</v>
      </c>
      <c r="F63" s="9">
        <f>VLOOKUP(D63,[3]MAU!A:C,3,0)</f>
        <v>378</v>
      </c>
      <c r="G63" s="10">
        <f t="shared" si="2"/>
        <v>0.34375</v>
      </c>
      <c r="H63" s="11">
        <f t="shared" si="3"/>
        <v>0.17460317460317459</v>
      </c>
    </row>
    <row r="64" spans="1:8" x14ac:dyDescent="0.3">
      <c r="A64" s="2">
        <v>44806</v>
      </c>
      <c r="B64" s="8">
        <v>61</v>
      </c>
      <c r="C64" s="9">
        <f t="shared" si="0"/>
        <v>35</v>
      </c>
      <c r="D64" s="9">
        <f t="shared" si="1"/>
        <v>9</v>
      </c>
      <c r="E64" s="9">
        <f>VLOOKUP(C64,[3]WAU!A:C,3,0)</f>
        <v>192</v>
      </c>
      <c r="F64" s="9">
        <f>VLOOKUP(D64,[3]MAU!A:C,3,0)</f>
        <v>378</v>
      </c>
      <c r="G64" s="10">
        <f t="shared" si="2"/>
        <v>0.31770833333333331</v>
      </c>
      <c r="H64" s="11">
        <f t="shared" si="3"/>
        <v>0.16137566137566137</v>
      </c>
    </row>
    <row r="65" spans="1:8" x14ac:dyDescent="0.3">
      <c r="A65" s="2">
        <v>44807</v>
      </c>
      <c r="B65" s="8">
        <v>58</v>
      </c>
      <c r="C65" s="9">
        <f t="shared" si="0"/>
        <v>35</v>
      </c>
      <c r="D65" s="9">
        <f t="shared" si="1"/>
        <v>9</v>
      </c>
      <c r="E65" s="9">
        <f>VLOOKUP(C65,[3]WAU!A:C,3,0)</f>
        <v>192</v>
      </c>
      <c r="F65" s="9">
        <f>VLOOKUP(D65,[3]MAU!A:C,3,0)</f>
        <v>378</v>
      </c>
      <c r="G65" s="10">
        <f t="shared" si="2"/>
        <v>0.30208333333333331</v>
      </c>
      <c r="H65" s="11">
        <f t="shared" si="3"/>
        <v>0.15343915343915343</v>
      </c>
    </row>
    <row r="66" spans="1:8" x14ac:dyDescent="0.3">
      <c r="A66" s="2">
        <v>44808</v>
      </c>
      <c r="B66" s="8">
        <v>64</v>
      </c>
      <c r="C66" s="9">
        <f t="shared" si="0"/>
        <v>35</v>
      </c>
      <c r="D66" s="9">
        <f t="shared" si="1"/>
        <v>9</v>
      </c>
      <c r="E66" s="9">
        <f>VLOOKUP(C66,[3]WAU!A:C,3,0)</f>
        <v>192</v>
      </c>
      <c r="F66" s="9">
        <f>VLOOKUP(D66,[3]MAU!A:C,3,0)</f>
        <v>378</v>
      </c>
      <c r="G66" s="10">
        <f t="shared" si="2"/>
        <v>0.33333333333333331</v>
      </c>
      <c r="H66" s="11">
        <f t="shared" si="3"/>
        <v>0.1693121693121693</v>
      </c>
    </row>
    <row r="67" spans="1:8" x14ac:dyDescent="0.3">
      <c r="A67" s="2">
        <v>44809</v>
      </c>
      <c r="B67" s="8">
        <v>62</v>
      </c>
      <c r="C67" s="9">
        <f t="shared" ref="C67:C130" si="4">_xlfn.ISOWEEKNUM(A67)</f>
        <v>36</v>
      </c>
      <c r="D67" s="9">
        <f t="shared" ref="D67:D130" si="5">MONTH(A67)</f>
        <v>9</v>
      </c>
      <c r="E67" s="9">
        <f>VLOOKUP(C67,[3]WAU!A:C,3,0)</f>
        <v>196</v>
      </c>
      <c r="F67" s="9">
        <f>VLOOKUP(D67,[3]MAU!A:C,3,0)</f>
        <v>378</v>
      </c>
      <c r="G67" s="10">
        <f t="shared" ref="G67:G130" si="6">B67/E67</f>
        <v>0.31632653061224492</v>
      </c>
      <c r="H67" s="11">
        <f t="shared" ref="H67:H130" si="7">B67/F67</f>
        <v>0.16402116402116401</v>
      </c>
    </row>
    <row r="68" spans="1:8" x14ac:dyDescent="0.3">
      <c r="A68" s="2">
        <v>44810</v>
      </c>
      <c r="B68" s="8">
        <v>46</v>
      </c>
      <c r="C68" s="9">
        <f t="shared" si="4"/>
        <v>36</v>
      </c>
      <c r="D68" s="9">
        <f t="shared" si="5"/>
        <v>9</v>
      </c>
      <c r="E68" s="9">
        <f>VLOOKUP(C68,[3]WAU!A:C,3,0)</f>
        <v>196</v>
      </c>
      <c r="F68" s="9">
        <f>VLOOKUP(D68,[3]MAU!A:C,3,0)</f>
        <v>378</v>
      </c>
      <c r="G68" s="10">
        <f t="shared" si="6"/>
        <v>0.23469387755102042</v>
      </c>
      <c r="H68" s="11">
        <f t="shared" si="7"/>
        <v>0.12169312169312169</v>
      </c>
    </row>
    <row r="69" spans="1:8" x14ac:dyDescent="0.3">
      <c r="A69" s="2">
        <v>44811</v>
      </c>
      <c r="B69" s="8">
        <v>49</v>
      </c>
      <c r="C69" s="9">
        <f t="shared" si="4"/>
        <v>36</v>
      </c>
      <c r="D69" s="9">
        <f t="shared" si="5"/>
        <v>9</v>
      </c>
      <c r="E69" s="9">
        <f>VLOOKUP(C69,[3]WAU!A:C,3,0)</f>
        <v>196</v>
      </c>
      <c r="F69" s="9">
        <f>VLOOKUP(D69,[3]MAU!A:C,3,0)</f>
        <v>378</v>
      </c>
      <c r="G69" s="10">
        <f t="shared" si="6"/>
        <v>0.25</v>
      </c>
      <c r="H69" s="11">
        <f t="shared" si="7"/>
        <v>0.12962962962962962</v>
      </c>
    </row>
    <row r="70" spans="1:8" x14ac:dyDescent="0.3">
      <c r="A70" s="2">
        <v>44812</v>
      </c>
      <c r="B70" s="8">
        <v>59</v>
      </c>
      <c r="C70" s="9">
        <f t="shared" si="4"/>
        <v>36</v>
      </c>
      <c r="D70" s="9">
        <f t="shared" si="5"/>
        <v>9</v>
      </c>
      <c r="E70" s="9">
        <f>VLOOKUP(C70,[3]WAU!A:C,3,0)</f>
        <v>196</v>
      </c>
      <c r="F70" s="9">
        <f>VLOOKUP(D70,[3]MAU!A:C,3,0)</f>
        <v>378</v>
      </c>
      <c r="G70" s="10">
        <f t="shared" si="6"/>
        <v>0.30102040816326531</v>
      </c>
      <c r="H70" s="11">
        <f t="shared" si="7"/>
        <v>0.15608465608465608</v>
      </c>
    </row>
    <row r="71" spans="1:8" x14ac:dyDescent="0.3">
      <c r="A71" s="2">
        <v>44813</v>
      </c>
      <c r="B71" s="8">
        <v>60</v>
      </c>
      <c r="C71" s="9">
        <f t="shared" si="4"/>
        <v>36</v>
      </c>
      <c r="D71" s="9">
        <f t="shared" si="5"/>
        <v>9</v>
      </c>
      <c r="E71" s="9">
        <f>VLOOKUP(C71,[3]WAU!A:C,3,0)</f>
        <v>196</v>
      </c>
      <c r="F71" s="9">
        <f>VLOOKUP(D71,[3]MAU!A:C,3,0)</f>
        <v>378</v>
      </c>
      <c r="G71" s="10">
        <f t="shared" si="6"/>
        <v>0.30612244897959184</v>
      </c>
      <c r="H71" s="11">
        <f t="shared" si="7"/>
        <v>0.15873015873015872</v>
      </c>
    </row>
    <row r="72" spans="1:8" x14ac:dyDescent="0.3">
      <c r="A72" s="2">
        <v>44814</v>
      </c>
      <c r="B72" s="8">
        <v>53</v>
      </c>
      <c r="C72" s="9">
        <f t="shared" si="4"/>
        <v>36</v>
      </c>
      <c r="D72" s="9">
        <f t="shared" si="5"/>
        <v>9</v>
      </c>
      <c r="E72" s="9">
        <f>VLOOKUP(C72,[3]WAU!A:C,3,0)</f>
        <v>196</v>
      </c>
      <c r="F72" s="9">
        <f>VLOOKUP(D72,[3]MAU!A:C,3,0)</f>
        <v>378</v>
      </c>
      <c r="G72" s="10">
        <f t="shared" si="6"/>
        <v>0.27040816326530615</v>
      </c>
      <c r="H72" s="11">
        <f t="shared" si="7"/>
        <v>0.1402116402116402</v>
      </c>
    </row>
    <row r="73" spans="1:8" x14ac:dyDescent="0.3">
      <c r="A73" s="2">
        <v>44815</v>
      </c>
      <c r="B73" s="8">
        <v>61</v>
      </c>
      <c r="C73" s="9">
        <f t="shared" si="4"/>
        <v>36</v>
      </c>
      <c r="D73" s="9">
        <f t="shared" si="5"/>
        <v>9</v>
      </c>
      <c r="E73" s="9">
        <f>VLOOKUP(C73,[3]WAU!A:C,3,0)</f>
        <v>196</v>
      </c>
      <c r="F73" s="9">
        <f>VLOOKUP(D73,[3]MAU!A:C,3,0)</f>
        <v>378</v>
      </c>
      <c r="G73" s="10">
        <f t="shared" si="6"/>
        <v>0.31122448979591838</v>
      </c>
      <c r="H73" s="11">
        <f t="shared" si="7"/>
        <v>0.16137566137566137</v>
      </c>
    </row>
    <row r="74" spans="1:8" x14ac:dyDescent="0.3">
      <c r="A74" s="2">
        <v>44816</v>
      </c>
      <c r="B74" s="8">
        <v>58</v>
      </c>
      <c r="C74" s="9">
        <f t="shared" si="4"/>
        <v>37</v>
      </c>
      <c r="D74" s="9">
        <f t="shared" si="5"/>
        <v>9</v>
      </c>
      <c r="E74" s="9">
        <f>VLOOKUP(C74,[3]WAU!A:C,3,0)</f>
        <v>205</v>
      </c>
      <c r="F74" s="9">
        <f>VLOOKUP(D74,[3]MAU!A:C,3,0)</f>
        <v>378</v>
      </c>
      <c r="G74" s="10">
        <f t="shared" si="6"/>
        <v>0.28292682926829266</v>
      </c>
      <c r="H74" s="11">
        <f t="shared" si="7"/>
        <v>0.15343915343915343</v>
      </c>
    </row>
    <row r="75" spans="1:8" x14ac:dyDescent="0.3">
      <c r="A75" s="2">
        <v>44817</v>
      </c>
      <c r="B75" s="8">
        <v>64</v>
      </c>
      <c r="C75" s="9">
        <f t="shared" si="4"/>
        <v>37</v>
      </c>
      <c r="D75" s="9">
        <f t="shared" si="5"/>
        <v>9</v>
      </c>
      <c r="E75" s="9">
        <f>VLOOKUP(C75,[3]WAU!A:C,3,0)</f>
        <v>205</v>
      </c>
      <c r="F75" s="9">
        <f>VLOOKUP(D75,[3]MAU!A:C,3,0)</f>
        <v>378</v>
      </c>
      <c r="G75" s="10">
        <f t="shared" si="6"/>
        <v>0.31219512195121951</v>
      </c>
      <c r="H75" s="11">
        <f t="shared" si="7"/>
        <v>0.1693121693121693</v>
      </c>
    </row>
    <row r="76" spans="1:8" x14ac:dyDescent="0.3">
      <c r="A76" s="2">
        <v>44818</v>
      </c>
      <c r="B76" s="8">
        <v>65</v>
      </c>
      <c r="C76" s="9">
        <f t="shared" si="4"/>
        <v>37</v>
      </c>
      <c r="D76" s="9">
        <f t="shared" si="5"/>
        <v>9</v>
      </c>
      <c r="E76" s="9">
        <f>VLOOKUP(C76,[3]WAU!A:C,3,0)</f>
        <v>205</v>
      </c>
      <c r="F76" s="9">
        <f>VLOOKUP(D76,[3]MAU!A:C,3,0)</f>
        <v>378</v>
      </c>
      <c r="G76" s="10">
        <f t="shared" si="6"/>
        <v>0.31707317073170732</v>
      </c>
      <c r="H76" s="11">
        <f t="shared" si="7"/>
        <v>0.17195767195767195</v>
      </c>
    </row>
    <row r="77" spans="1:8" x14ac:dyDescent="0.3">
      <c r="A77" s="2">
        <v>44819</v>
      </c>
      <c r="B77" s="8">
        <v>74</v>
      </c>
      <c r="C77" s="9">
        <f t="shared" si="4"/>
        <v>37</v>
      </c>
      <c r="D77" s="9">
        <f t="shared" si="5"/>
        <v>9</v>
      </c>
      <c r="E77" s="9">
        <f>VLOOKUP(C77,[3]WAU!A:C,3,0)</f>
        <v>205</v>
      </c>
      <c r="F77" s="9">
        <f>VLOOKUP(D77,[3]MAU!A:C,3,0)</f>
        <v>378</v>
      </c>
      <c r="G77" s="10">
        <f t="shared" si="6"/>
        <v>0.36097560975609755</v>
      </c>
      <c r="H77" s="11">
        <f t="shared" si="7"/>
        <v>0.19576719576719576</v>
      </c>
    </row>
    <row r="78" spans="1:8" x14ac:dyDescent="0.3">
      <c r="A78" s="2">
        <v>44820</v>
      </c>
      <c r="B78" s="8">
        <v>58</v>
      </c>
      <c r="C78" s="9">
        <f t="shared" si="4"/>
        <v>37</v>
      </c>
      <c r="D78" s="9">
        <f t="shared" si="5"/>
        <v>9</v>
      </c>
      <c r="E78" s="9">
        <f>VLOOKUP(C78,[3]WAU!A:C,3,0)</f>
        <v>205</v>
      </c>
      <c r="F78" s="9">
        <f>VLOOKUP(D78,[3]MAU!A:C,3,0)</f>
        <v>378</v>
      </c>
      <c r="G78" s="10">
        <f t="shared" si="6"/>
        <v>0.28292682926829266</v>
      </c>
      <c r="H78" s="11">
        <f t="shared" si="7"/>
        <v>0.15343915343915343</v>
      </c>
    </row>
    <row r="79" spans="1:8" x14ac:dyDescent="0.3">
      <c r="A79" s="2">
        <v>44821</v>
      </c>
      <c r="B79" s="8">
        <v>62</v>
      </c>
      <c r="C79" s="9">
        <f t="shared" si="4"/>
        <v>37</v>
      </c>
      <c r="D79" s="9">
        <f t="shared" si="5"/>
        <v>9</v>
      </c>
      <c r="E79" s="9">
        <f>VLOOKUP(C79,[3]WAU!A:C,3,0)</f>
        <v>205</v>
      </c>
      <c r="F79" s="9">
        <f>VLOOKUP(D79,[3]MAU!A:C,3,0)</f>
        <v>378</v>
      </c>
      <c r="G79" s="10">
        <f t="shared" si="6"/>
        <v>0.30243902439024389</v>
      </c>
      <c r="H79" s="11">
        <f t="shared" si="7"/>
        <v>0.16402116402116401</v>
      </c>
    </row>
    <row r="80" spans="1:8" x14ac:dyDescent="0.3">
      <c r="A80" s="2">
        <v>44822</v>
      </c>
      <c r="B80" s="8">
        <v>69</v>
      </c>
      <c r="C80" s="9">
        <f t="shared" si="4"/>
        <v>37</v>
      </c>
      <c r="D80" s="9">
        <f t="shared" si="5"/>
        <v>9</v>
      </c>
      <c r="E80" s="9">
        <f>VLOOKUP(C80,[3]WAU!A:C,3,0)</f>
        <v>205</v>
      </c>
      <c r="F80" s="9">
        <f>VLOOKUP(D80,[3]MAU!A:C,3,0)</f>
        <v>378</v>
      </c>
      <c r="G80" s="10">
        <f t="shared" si="6"/>
        <v>0.33658536585365856</v>
      </c>
      <c r="H80" s="11">
        <f t="shared" si="7"/>
        <v>0.18253968253968253</v>
      </c>
    </row>
    <row r="81" spans="1:8" x14ac:dyDescent="0.3">
      <c r="A81" s="2">
        <v>44823</v>
      </c>
      <c r="B81" s="8">
        <v>66</v>
      </c>
      <c r="C81" s="9">
        <f t="shared" si="4"/>
        <v>38</v>
      </c>
      <c r="D81" s="9">
        <f t="shared" si="5"/>
        <v>9</v>
      </c>
      <c r="E81" s="9">
        <f>VLOOKUP(C81,[3]WAU!A:C,3,0)</f>
        <v>213</v>
      </c>
      <c r="F81" s="9">
        <f>VLOOKUP(D81,[3]MAU!A:C,3,0)</f>
        <v>378</v>
      </c>
      <c r="G81" s="10">
        <f t="shared" si="6"/>
        <v>0.30985915492957744</v>
      </c>
      <c r="H81" s="11">
        <f t="shared" si="7"/>
        <v>0.17460317460317459</v>
      </c>
    </row>
    <row r="82" spans="1:8" x14ac:dyDescent="0.3">
      <c r="A82" s="2">
        <v>44824</v>
      </c>
      <c r="B82" s="8">
        <v>67</v>
      </c>
      <c r="C82" s="9">
        <f t="shared" si="4"/>
        <v>38</v>
      </c>
      <c r="D82" s="9">
        <f t="shared" si="5"/>
        <v>9</v>
      </c>
      <c r="E82" s="9">
        <f>VLOOKUP(C82,[3]WAU!A:C,3,0)</f>
        <v>213</v>
      </c>
      <c r="F82" s="9">
        <f>VLOOKUP(D82,[3]MAU!A:C,3,0)</f>
        <v>378</v>
      </c>
      <c r="G82" s="10">
        <f t="shared" si="6"/>
        <v>0.31455399061032863</v>
      </c>
      <c r="H82" s="11">
        <f t="shared" si="7"/>
        <v>0.17724867724867724</v>
      </c>
    </row>
    <row r="83" spans="1:8" x14ac:dyDescent="0.3">
      <c r="A83" s="2">
        <v>44825</v>
      </c>
      <c r="B83" s="8">
        <v>71</v>
      </c>
      <c r="C83" s="9">
        <f t="shared" si="4"/>
        <v>38</v>
      </c>
      <c r="D83" s="9">
        <f t="shared" si="5"/>
        <v>9</v>
      </c>
      <c r="E83" s="9">
        <f>VLOOKUP(C83,[3]WAU!A:C,3,0)</f>
        <v>213</v>
      </c>
      <c r="F83" s="9">
        <f>VLOOKUP(D83,[3]MAU!A:C,3,0)</f>
        <v>378</v>
      </c>
      <c r="G83" s="10">
        <f t="shared" si="6"/>
        <v>0.33333333333333331</v>
      </c>
      <c r="H83" s="11">
        <f t="shared" si="7"/>
        <v>0.18783068783068782</v>
      </c>
    </row>
    <row r="84" spans="1:8" x14ac:dyDescent="0.3">
      <c r="A84" s="2">
        <v>44826</v>
      </c>
      <c r="B84" s="8">
        <v>67</v>
      </c>
      <c r="C84" s="9">
        <f t="shared" si="4"/>
        <v>38</v>
      </c>
      <c r="D84" s="9">
        <f t="shared" si="5"/>
        <v>9</v>
      </c>
      <c r="E84" s="9">
        <f>VLOOKUP(C84,[3]WAU!A:C,3,0)</f>
        <v>213</v>
      </c>
      <c r="F84" s="9">
        <f>VLOOKUP(D84,[3]MAU!A:C,3,0)</f>
        <v>378</v>
      </c>
      <c r="G84" s="10">
        <f t="shared" si="6"/>
        <v>0.31455399061032863</v>
      </c>
      <c r="H84" s="11">
        <f t="shared" si="7"/>
        <v>0.17724867724867724</v>
      </c>
    </row>
    <row r="85" spans="1:8" x14ac:dyDescent="0.3">
      <c r="A85" s="2">
        <v>44827</v>
      </c>
      <c r="B85" s="8">
        <v>55</v>
      </c>
      <c r="C85" s="9">
        <f t="shared" si="4"/>
        <v>38</v>
      </c>
      <c r="D85" s="9">
        <f t="shared" si="5"/>
        <v>9</v>
      </c>
      <c r="E85" s="9">
        <f>VLOOKUP(C85,[3]WAU!A:C,3,0)</f>
        <v>213</v>
      </c>
      <c r="F85" s="9">
        <f>VLOOKUP(D85,[3]MAU!A:C,3,0)</f>
        <v>378</v>
      </c>
      <c r="G85" s="10">
        <f t="shared" si="6"/>
        <v>0.25821596244131456</v>
      </c>
      <c r="H85" s="11">
        <f t="shared" si="7"/>
        <v>0.14550264550264549</v>
      </c>
    </row>
    <row r="86" spans="1:8" x14ac:dyDescent="0.3">
      <c r="A86" s="2">
        <v>44828</v>
      </c>
      <c r="B86" s="8">
        <v>58</v>
      </c>
      <c r="C86" s="9">
        <f t="shared" si="4"/>
        <v>38</v>
      </c>
      <c r="D86" s="9">
        <f t="shared" si="5"/>
        <v>9</v>
      </c>
      <c r="E86" s="9">
        <f>VLOOKUP(C86,[3]WAU!A:C,3,0)</f>
        <v>213</v>
      </c>
      <c r="F86" s="9">
        <f>VLOOKUP(D86,[3]MAU!A:C,3,0)</f>
        <v>378</v>
      </c>
      <c r="G86" s="10">
        <f t="shared" si="6"/>
        <v>0.27230046948356806</v>
      </c>
      <c r="H86" s="11">
        <f t="shared" si="7"/>
        <v>0.15343915343915343</v>
      </c>
    </row>
    <row r="87" spans="1:8" x14ac:dyDescent="0.3">
      <c r="A87" s="2">
        <v>44829</v>
      </c>
      <c r="B87" s="8">
        <v>73</v>
      </c>
      <c r="C87" s="9">
        <f t="shared" si="4"/>
        <v>38</v>
      </c>
      <c r="D87" s="9">
        <f t="shared" si="5"/>
        <v>9</v>
      </c>
      <c r="E87" s="9">
        <f>VLOOKUP(C87,[3]WAU!A:C,3,0)</f>
        <v>213</v>
      </c>
      <c r="F87" s="9">
        <f>VLOOKUP(D87,[3]MAU!A:C,3,0)</f>
        <v>378</v>
      </c>
      <c r="G87" s="10">
        <f t="shared" si="6"/>
        <v>0.34272300469483569</v>
      </c>
      <c r="H87" s="11">
        <f t="shared" si="7"/>
        <v>0.19312169312169311</v>
      </c>
    </row>
    <row r="88" spans="1:8" x14ac:dyDescent="0.3">
      <c r="A88" s="2">
        <v>44830</v>
      </c>
      <c r="B88" s="8">
        <v>58</v>
      </c>
      <c r="C88" s="9">
        <f t="shared" si="4"/>
        <v>39</v>
      </c>
      <c r="D88" s="9">
        <f t="shared" si="5"/>
        <v>9</v>
      </c>
      <c r="E88" s="9">
        <f>VLOOKUP(C88,[3]WAU!A:C,3,0)</f>
        <v>208</v>
      </c>
      <c r="F88" s="9">
        <f>VLOOKUP(D88,[3]MAU!A:C,3,0)</f>
        <v>378</v>
      </c>
      <c r="G88" s="10">
        <f t="shared" si="6"/>
        <v>0.27884615384615385</v>
      </c>
      <c r="H88" s="11">
        <f t="shared" si="7"/>
        <v>0.15343915343915343</v>
      </c>
    </row>
    <row r="89" spans="1:8" x14ac:dyDescent="0.3">
      <c r="A89" s="2">
        <v>44831</v>
      </c>
      <c r="B89" s="8">
        <v>76</v>
      </c>
      <c r="C89" s="9">
        <f t="shared" si="4"/>
        <v>39</v>
      </c>
      <c r="D89" s="9">
        <f t="shared" si="5"/>
        <v>9</v>
      </c>
      <c r="E89" s="9">
        <f>VLOOKUP(C89,[3]WAU!A:C,3,0)</f>
        <v>208</v>
      </c>
      <c r="F89" s="9">
        <f>VLOOKUP(D89,[3]MAU!A:C,3,0)</f>
        <v>378</v>
      </c>
      <c r="G89" s="10">
        <f t="shared" si="6"/>
        <v>0.36538461538461536</v>
      </c>
      <c r="H89" s="11">
        <f t="shared" si="7"/>
        <v>0.20105820105820105</v>
      </c>
    </row>
    <row r="90" spans="1:8" x14ac:dyDescent="0.3">
      <c r="A90" s="2">
        <v>44832</v>
      </c>
      <c r="B90" s="8">
        <v>62</v>
      </c>
      <c r="C90" s="9">
        <f t="shared" si="4"/>
        <v>39</v>
      </c>
      <c r="D90" s="9">
        <f t="shared" si="5"/>
        <v>9</v>
      </c>
      <c r="E90" s="9">
        <f>VLOOKUP(C90,[3]WAU!A:C,3,0)</f>
        <v>208</v>
      </c>
      <c r="F90" s="9">
        <f>VLOOKUP(D90,[3]MAU!A:C,3,0)</f>
        <v>378</v>
      </c>
      <c r="G90" s="10">
        <f t="shared" si="6"/>
        <v>0.29807692307692307</v>
      </c>
      <c r="H90" s="11">
        <f t="shared" si="7"/>
        <v>0.16402116402116401</v>
      </c>
    </row>
    <row r="91" spans="1:8" x14ac:dyDescent="0.3">
      <c r="A91" s="2">
        <v>44833</v>
      </c>
      <c r="B91" s="8">
        <v>66</v>
      </c>
      <c r="C91" s="9">
        <f t="shared" si="4"/>
        <v>39</v>
      </c>
      <c r="D91" s="9">
        <f t="shared" si="5"/>
        <v>9</v>
      </c>
      <c r="E91" s="9">
        <f>VLOOKUP(C91,[3]WAU!A:C,3,0)</f>
        <v>208</v>
      </c>
      <c r="F91" s="9">
        <f>VLOOKUP(D91,[3]MAU!A:C,3,0)</f>
        <v>378</v>
      </c>
      <c r="G91" s="10">
        <f t="shared" si="6"/>
        <v>0.31730769230769229</v>
      </c>
      <c r="H91" s="11">
        <f t="shared" si="7"/>
        <v>0.17460317460317459</v>
      </c>
    </row>
    <row r="92" spans="1:8" x14ac:dyDescent="0.3">
      <c r="A92" s="2">
        <v>44834</v>
      </c>
      <c r="B92" s="8">
        <v>59</v>
      </c>
      <c r="C92" s="9">
        <f t="shared" si="4"/>
        <v>39</v>
      </c>
      <c r="D92" s="9">
        <f t="shared" si="5"/>
        <v>9</v>
      </c>
      <c r="E92" s="9">
        <f>VLOOKUP(C92,[3]WAU!A:C,3,0)</f>
        <v>208</v>
      </c>
      <c r="F92" s="9">
        <f>VLOOKUP(D92,[3]MAU!A:C,3,0)</f>
        <v>378</v>
      </c>
      <c r="G92" s="10">
        <f t="shared" si="6"/>
        <v>0.28365384615384615</v>
      </c>
      <c r="H92" s="11">
        <f t="shared" si="7"/>
        <v>0.15608465608465608</v>
      </c>
    </row>
    <row r="93" spans="1:8" x14ac:dyDescent="0.3">
      <c r="A93" s="2">
        <v>44835</v>
      </c>
      <c r="B93" s="8">
        <v>61</v>
      </c>
      <c r="C93" s="9">
        <f t="shared" si="4"/>
        <v>39</v>
      </c>
      <c r="D93" s="9">
        <f t="shared" si="5"/>
        <v>10</v>
      </c>
      <c r="E93" s="9">
        <f>VLOOKUP(C93,[3]WAU!A:C,3,0)</f>
        <v>208</v>
      </c>
      <c r="F93" s="9">
        <f>VLOOKUP(D93,[3]MAU!A:C,3,0)</f>
        <v>393</v>
      </c>
      <c r="G93" s="10">
        <f t="shared" si="6"/>
        <v>0.29326923076923078</v>
      </c>
      <c r="H93" s="11">
        <f t="shared" si="7"/>
        <v>0.15521628498727735</v>
      </c>
    </row>
    <row r="94" spans="1:8" x14ac:dyDescent="0.3">
      <c r="A94" s="2">
        <v>44836</v>
      </c>
      <c r="B94" s="8">
        <v>52</v>
      </c>
      <c r="C94" s="9">
        <f t="shared" si="4"/>
        <v>39</v>
      </c>
      <c r="D94" s="9">
        <f t="shared" si="5"/>
        <v>10</v>
      </c>
      <c r="E94" s="9">
        <f>VLOOKUP(C94,[3]WAU!A:C,3,0)</f>
        <v>208</v>
      </c>
      <c r="F94" s="9">
        <f>VLOOKUP(D94,[3]MAU!A:C,3,0)</f>
        <v>393</v>
      </c>
      <c r="G94" s="10">
        <f t="shared" si="6"/>
        <v>0.25</v>
      </c>
      <c r="H94" s="11">
        <f t="shared" si="7"/>
        <v>0.13231552162849872</v>
      </c>
    </row>
    <row r="95" spans="1:8" x14ac:dyDescent="0.3">
      <c r="A95" s="2">
        <v>44837</v>
      </c>
      <c r="B95" s="8">
        <v>69</v>
      </c>
      <c r="C95" s="9">
        <f t="shared" si="4"/>
        <v>40</v>
      </c>
      <c r="D95" s="9">
        <f t="shared" si="5"/>
        <v>10</v>
      </c>
      <c r="E95" s="9">
        <f>VLOOKUP(C95,[3]WAU!A:C,3,0)</f>
        <v>207</v>
      </c>
      <c r="F95" s="9">
        <f>VLOOKUP(D95,[3]MAU!A:C,3,0)</f>
        <v>393</v>
      </c>
      <c r="G95" s="10">
        <f t="shared" si="6"/>
        <v>0.33333333333333331</v>
      </c>
      <c r="H95" s="11">
        <f t="shared" si="7"/>
        <v>0.17557251908396945</v>
      </c>
    </row>
    <row r="96" spans="1:8" x14ac:dyDescent="0.3">
      <c r="A96" s="2">
        <v>44838</v>
      </c>
      <c r="B96" s="8">
        <v>70</v>
      </c>
      <c r="C96" s="9">
        <f t="shared" si="4"/>
        <v>40</v>
      </c>
      <c r="D96" s="9">
        <f t="shared" si="5"/>
        <v>10</v>
      </c>
      <c r="E96" s="9">
        <f>VLOOKUP(C96,[3]WAU!A:C,3,0)</f>
        <v>207</v>
      </c>
      <c r="F96" s="9">
        <f>VLOOKUP(D96,[3]MAU!A:C,3,0)</f>
        <v>393</v>
      </c>
      <c r="G96" s="10">
        <f t="shared" si="6"/>
        <v>0.33816425120772947</v>
      </c>
      <c r="H96" s="11">
        <f t="shared" si="7"/>
        <v>0.17811704834605599</v>
      </c>
    </row>
    <row r="97" spans="1:8" x14ac:dyDescent="0.3">
      <c r="A97" s="2">
        <v>44839</v>
      </c>
      <c r="B97" s="8">
        <v>45</v>
      </c>
      <c r="C97" s="9">
        <f t="shared" si="4"/>
        <v>40</v>
      </c>
      <c r="D97" s="9">
        <f t="shared" si="5"/>
        <v>10</v>
      </c>
      <c r="E97" s="9">
        <f>VLOOKUP(C97,[3]WAU!A:C,3,0)</f>
        <v>207</v>
      </c>
      <c r="F97" s="9">
        <f>VLOOKUP(D97,[3]MAU!A:C,3,0)</f>
        <v>393</v>
      </c>
      <c r="G97" s="10">
        <f t="shared" si="6"/>
        <v>0.21739130434782608</v>
      </c>
      <c r="H97" s="11">
        <f t="shared" si="7"/>
        <v>0.11450381679389313</v>
      </c>
    </row>
    <row r="98" spans="1:8" x14ac:dyDescent="0.3">
      <c r="A98" s="2">
        <v>44840</v>
      </c>
      <c r="B98" s="8">
        <v>77</v>
      </c>
      <c r="C98" s="9">
        <f t="shared" si="4"/>
        <v>40</v>
      </c>
      <c r="D98" s="9">
        <f t="shared" si="5"/>
        <v>10</v>
      </c>
      <c r="E98" s="9">
        <f>VLOOKUP(C98,[3]WAU!A:C,3,0)</f>
        <v>207</v>
      </c>
      <c r="F98" s="9">
        <f>VLOOKUP(D98,[3]MAU!A:C,3,0)</f>
        <v>393</v>
      </c>
      <c r="G98" s="10">
        <f t="shared" si="6"/>
        <v>0.3719806763285024</v>
      </c>
      <c r="H98" s="11">
        <f t="shared" si="7"/>
        <v>0.19592875318066158</v>
      </c>
    </row>
    <row r="99" spans="1:8" x14ac:dyDescent="0.3">
      <c r="A99" s="2">
        <v>44841</v>
      </c>
      <c r="B99" s="8">
        <v>61</v>
      </c>
      <c r="C99" s="9">
        <f t="shared" si="4"/>
        <v>40</v>
      </c>
      <c r="D99" s="9">
        <f t="shared" si="5"/>
        <v>10</v>
      </c>
      <c r="E99" s="9">
        <f>VLOOKUP(C99,[3]WAU!A:C,3,0)</f>
        <v>207</v>
      </c>
      <c r="F99" s="9">
        <f>VLOOKUP(D99,[3]MAU!A:C,3,0)</f>
        <v>393</v>
      </c>
      <c r="G99" s="10">
        <f t="shared" si="6"/>
        <v>0.29468599033816423</v>
      </c>
      <c r="H99" s="11">
        <f t="shared" si="7"/>
        <v>0.15521628498727735</v>
      </c>
    </row>
    <row r="100" spans="1:8" x14ac:dyDescent="0.3">
      <c r="A100" s="2">
        <v>44842</v>
      </c>
      <c r="B100" s="8">
        <v>56</v>
      </c>
      <c r="C100" s="9">
        <f t="shared" si="4"/>
        <v>40</v>
      </c>
      <c r="D100" s="9">
        <f t="shared" si="5"/>
        <v>10</v>
      </c>
      <c r="E100" s="9">
        <f>VLOOKUP(C100,[3]WAU!A:C,3,0)</f>
        <v>207</v>
      </c>
      <c r="F100" s="9">
        <f>VLOOKUP(D100,[3]MAU!A:C,3,0)</f>
        <v>393</v>
      </c>
      <c r="G100" s="10">
        <f t="shared" si="6"/>
        <v>0.27053140096618356</v>
      </c>
      <c r="H100" s="11">
        <f t="shared" si="7"/>
        <v>0.14249363867684478</v>
      </c>
    </row>
    <row r="101" spans="1:8" x14ac:dyDescent="0.3">
      <c r="A101" s="2">
        <v>44843</v>
      </c>
      <c r="B101" s="8">
        <v>66</v>
      </c>
      <c r="C101" s="9">
        <f t="shared" si="4"/>
        <v>40</v>
      </c>
      <c r="D101" s="9">
        <f t="shared" si="5"/>
        <v>10</v>
      </c>
      <c r="E101" s="9">
        <f>VLOOKUP(C101,[3]WAU!A:C,3,0)</f>
        <v>207</v>
      </c>
      <c r="F101" s="9">
        <f>VLOOKUP(D101,[3]MAU!A:C,3,0)</f>
        <v>393</v>
      </c>
      <c r="G101" s="10">
        <f t="shared" si="6"/>
        <v>0.3188405797101449</v>
      </c>
      <c r="H101" s="11">
        <f t="shared" si="7"/>
        <v>0.16793893129770993</v>
      </c>
    </row>
    <row r="102" spans="1:8" x14ac:dyDescent="0.3">
      <c r="A102" s="2">
        <v>44844</v>
      </c>
      <c r="B102" s="8">
        <v>51</v>
      </c>
      <c r="C102" s="9">
        <f t="shared" si="4"/>
        <v>41</v>
      </c>
      <c r="D102" s="9">
        <f t="shared" si="5"/>
        <v>10</v>
      </c>
      <c r="E102" s="9">
        <f>VLOOKUP(C102,[3]WAU!A:C,3,0)</f>
        <v>204</v>
      </c>
      <c r="F102" s="9">
        <f>VLOOKUP(D102,[3]MAU!A:C,3,0)</f>
        <v>393</v>
      </c>
      <c r="G102" s="10">
        <f t="shared" si="6"/>
        <v>0.25</v>
      </c>
      <c r="H102" s="11">
        <f t="shared" si="7"/>
        <v>0.12977099236641221</v>
      </c>
    </row>
    <row r="103" spans="1:8" x14ac:dyDescent="0.3">
      <c r="A103" s="2">
        <v>44845</v>
      </c>
      <c r="B103" s="8">
        <v>59</v>
      </c>
      <c r="C103" s="9">
        <f t="shared" si="4"/>
        <v>41</v>
      </c>
      <c r="D103" s="9">
        <f t="shared" si="5"/>
        <v>10</v>
      </c>
      <c r="E103" s="9">
        <f>VLOOKUP(C103,[3]WAU!A:C,3,0)</f>
        <v>204</v>
      </c>
      <c r="F103" s="9">
        <f>VLOOKUP(D103,[3]MAU!A:C,3,0)</f>
        <v>393</v>
      </c>
      <c r="G103" s="10">
        <f t="shared" si="6"/>
        <v>0.28921568627450983</v>
      </c>
      <c r="H103" s="11">
        <f t="shared" si="7"/>
        <v>0.15012722646310434</v>
      </c>
    </row>
    <row r="104" spans="1:8" x14ac:dyDescent="0.3">
      <c r="A104" s="2">
        <v>44846</v>
      </c>
      <c r="B104" s="8">
        <v>65</v>
      </c>
      <c r="C104" s="9">
        <f t="shared" si="4"/>
        <v>41</v>
      </c>
      <c r="D104" s="9">
        <f t="shared" si="5"/>
        <v>10</v>
      </c>
      <c r="E104" s="9">
        <f>VLOOKUP(C104,[3]WAU!A:C,3,0)</f>
        <v>204</v>
      </c>
      <c r="F104" s="9">
        <f>VLOOKUP(D104,[3]MAU!A:C,3,0)</f>
        <v>393</v>
      </c>
      <c r="G104" s="10">
        <f t="shared" si="6"/>
        <v>0.31862745098039214</v>
      </c>
      <c r="H104" s="11">
        <f t="shared" si="7"/>
        <v>0.16539440203562342</v>
      </c>
    </row>
    <row r="105" spans="1:8" x14ac:dyDescent="0.3">
      <c r="A105" s="2">
        <v>44847</v>
      </c>
      <c r="B105" s="8">
        <v>53</v>
      </c>
      <c r="C105" s="9">
        <f t="shared" si="4"/>
        <v>41</v>
      </c>
      <c r="D105" s="9">
        <f t="shared" si="5"/>
        <v>10</v>
      </c>
      <c r="E105" s="9">
        <f>VLOOKUP(C105,[3]WAU!A:C,3,0)</f>
        <v>204</v>
      </c>
      <c r="F105" s="9">
        <f>VLOOKUP(D105,[3]MAU!A:C,3,0)</f>
        <v>393</v>
      </c>
      <c r="G105" s="10">
        <f t="shared" si="6"/>
        <v>0.25980392156862747</v>
      </c>
      <c r="H105" s="11">
        <f t="shared" si="7"/>
        <v>0.13486005089058525</v>
      </c>
    </row>
    <row r="106" spans="1:8" x14ac:dyDescent="0.3">
      <c r="A106" s="2">
        <v>44848</v>
      </c>
      <c r="B106" s="8">
        <v>72</v>
      </c>
      <c r="C106" s="9">
        <f t="shared" si="4"/>
        <v>41</v>
      </c>
      <c r="D106" s="9">
        <f t="shared" si="5"/>
        <v>10</v>
      </c>
      <c r="E106" s="9">
        <f>VLOOKUP(C106,[3]WAU!A:C,3,0)</f>
        <v>204</v>
      </c>
      <c r="F106" s="9">
        <f>VLOOKUP(D106,[3]MAU!A:C,3,0)</f>
        <v>393</v>
      </c>
      <c r="G106" s="10">
        <f t="shared" si="6"/>
        <v>0.35294117647058826</v>
      </c>
      <c r="H106" s="11">
        <f t="shared" si="7"/>
        <v>0.18320610687022901</v>
      </c>
    </row>
    <row r="107" spans="1:8" x14ac:dyDescent="0.3">
      <c r="A107" s="2">
        <v>44849</v>
      </c>
      <c r="B107" s="8">
        <v>62</v>
      </c>
      <c r="C107" s="9">
        <f t="shared" si="4"/>
        <v>41</v>
      </c>
      <c r="D107" s="9">
        <f t="shared" si="5"/>
        <v>10</v>
      </c>
      <c r="E107" s="9">
        <f>VLOOKUP(C107,[3]WAU!A:C,3,0)</f>
        <v>204</v>
      </c>
      <c r="F107" s="9">
        <f>VLOOKUP(D107,[3]MAU!A:C,3,0)</f>
        <v>393</v>
      </c>
      <c r="G107" s="10">
        <f t="shared" si="6"/>
        <v>0.30392156862745096</v>
      </c>
      <c r="H107" s="11">
        <f t="shared" si="7"/>
        <v>0.15776081424936386</v>
      </c>
    </row>
    <row r="108" spans="1:8" x14ac:dyDescent="0.3">
      <c r="A108" s="2">
        <v>44850</v>
      </c>
      <c r="B108" s="8">
        <v>62</v>
      </c>
      <c r="C108" s="9">
        <f t="shared" si="4"/>
        <v>41</v>
      </c>
      <c r="D108" s="9">
        <f t="shared" si="5"/>
        <v>10</v>
      </c>
      <c r="E108" s="9">
        <f>VLOOKUP(C108,[3]WAU!A:C,3,0)</f>
        <v>204</v>
      </c>
      <c r="F108" s="9">
        <f>VLOOKUP(D108,[3]MAU!A:C,3,0)</f>
        <v>393</v>
      </c>
      <c r="G108" s="10">
        <f t="shared" si="6"/>
        <v>0.30392156862745096</v>
      </c>
      <c r="H108" s="11">
        <f t="shared" si="7"/>
        <v>0.15776081424936386</v>
      </c>
    </row>
    <row r="109" spans="1:8" x14ac:dyDescent="0.3">
      <c r="A109" s="2">
        <v>44851</v>
      </c>
      <c r="B109" s="8">
        <v>70</v>
      </c>
      <c r="C109" s="9">
        <f t="shared" si="4"/>
        <v>42</v>
      </c>
      <c r="D109" s="9">
        <f t="shared" si="5"/>
        <v>10</v>
      </c>
      <c r="E109" s="9">
        <f>VLOOKUP(C109,[3]WAU!A:C,3,0)</f>
        <v>201</v>
      </c>
      <c r="F109" s="9">
        <f>VLOOKUP(D109,[3]MAU!A:C,3,0)</f>
        <v>393</v>
      </c>
      <c r="G109" s="10">
        <f t="shared" si="6"/>
        <v>0.34825870646766172</v>
      </c>
      <c r="H109" s="11">
        <f t="shared" si="7"/>
        <v>0.17811704834605599</v>
      </c>
    </row>
    <row r="110" spans="1:8" x14ac:dyDescent="0.3">
      <c r="A110" s="2">
        <v>44852</v>
      </c>
      <c r="B110" s="8">
        <v>62</v>
      </c>
      <c r="C110" s="9">
        <f t="shared" si="4"/>
        <v>42</v>
      </c>
      <c r="D110" s="9">
        <f t="shared" si="5"/>
        <v>10</v>
      </c>
      <c r="E110" s="9">
        <f>VLOOKUP(C110,[3]WAU!A:C,3,0)</f>
        <v>201</v>
      </c>
      <c r="F110" s="9">
        <f>VLOOKUP(D110,[3]MAU!A:C,3,0)</f>
        <v>393</v>
      </c>
      <c r="G110" s="10">
        <f t="shared" si="6"/>
        <v>0.30845771144278605</v>
      </c>
      <c r="H110" s="11">
        <f t="shared" si="7"/>
        <v>0.15776081424936386</v>
      </c>
    </row>
    <row r="111" spans="1:8" x14ac:dyDescent="0.3">
      <c r="A111" s="2">
        <v>44853</v>
      </c>
      <c r="B111" s="8">
        <v>82</v>
      </c>
      <c r="C111" s="9">
        <f t="shared" si="4"/>
        <v>42</v>
      </c>
      <c r="D111" s="9">
        <f t="shared" si="5"/>
        <v>10</v>
      </c>
      <c r="E111" s="9">
        <f>VLOOKUP(C111,[3]WAU!A:C,3,0)</f>
        <v>201</v>
      </c>
      <c r="F111" s="9">
        <f>VLOOKUP(D111,[3]MAU!A:C,3,0)</f>
        <v>393</v>
      </c>
      <c r="G111" s="10">
        <f t="shared" si="6"/>
        <v>0.4079601990049751</v>
      </c>
      <c r="H111" s="11">
        <f t="shared" si="7"/>
        <v>0.20865139949109415</v>
      </c>
    </row>
    <row r="112" spans="1:8" x14ac:dyDescent="0.3">
      <c r="A112" s="2">
        <v>44854</v>
      </c>
      <c r="B112" s="8">
        <v>52</v>
      </c>
      <c r="C112" s="9">
        <f t="shared" si="4"/>
        <v>42</v>
      </c>
      <c r="D112" s="9">
        <f t="shared" si="5"/>
        <v>10</v>
      </c>
      <c r="E112" s="9">
        <f>VLOOKUP(C112,[3]WAU!A:C,3,0)</f>
        <v>201</v>
      </c>
      <c r="F112" s="9">
        <f>VLOOKUP(D112,[3]MAU!A:C,3,0)</f>
        <v>393</v>
      </c>
      <c r="G112" s="10">
        <f t="shared" si="6"/>
        <v>0.25870646766169153</v>
      </c>
      <c r="H112" s="11">
        <f t="shared" si="7"/>
        <v>0.13231552162849872</v>
      </c>
    </row>
    <row r="113" spans="1:8" x14ac:dyDescent="0.3">
      <c r="A113" s="2">
        <v>44855</v>
      </c>
      <c r="B113" s="8">
        <v>65</v>
      </c>
      <c r="C113" s="9">
        <f t="shared" si="4"/>
        <v>42</v>
      </c>
      <c r="D113" s="9">
        <f t="shared" si="5"/>
        <v>10</v>
      </c>
      <c r="E113" s="9">
        <f>VLOOKUP(C113,[3]WAU!A:C,3,0)</f>
        <v>201</v>
      </c>
      <c r="F113" s="9">
        <f>VLOOKUP(D113,[3]MAU!A:C,3,0)</f>
        <v>393</v>
      </c>
      <c r="G113" s="10">
        <f t="shared" si="6"/>
        <v>0.32338308457711445</v>
      </c>
      <c r="H113" s="11">
        <f t="shared" si="7"/>
        <v>0.16539440203562342</v>
      </c>
    </row>
    <row r="114" spans="1:8" x14ac:dyDescent="0.3">
      <c r="A114" s="2">
        <v>44856</v>
      </c>
      <c r="B114" s="8">
        <v>64</v>
      </c>
      <c r="C114" s="9">
        <f t="shared" si="4"/>
        <v>42</v>
      </c>
      <c r="D114" s="9">
        <f t="shared" si="5"/>
        <v>10</v>
      </c>
      <c r="E114" s="9">
        <f>VLOOKUP(C114,[3]WAU!A:C,3,0)</f>
        <v>201</v>
      </c>
      <c r="F114" s="9">
        <f>VLOOKUP(D114,[3]MAU!A:C,3,0)</f>
        <v>393</v>
      </c>
      <c r="G114" s="10">
        <f t="shared" si="6"/>
        <v>0.31840796019900497</v>
      </c>
      <c r="H114" s="11">
        <f t="shared" si="7"/>
        <v>0.16284987277353691</v>
      </c>
    </row>
    <row r="115" spans="1:8" x14ac:dyDescent="0.3">
      <c r="A115" s="2">
        <v>44857</v>
      </c>
      <c r="B115" s="8">
        <v>57</v>
      </c>
      <c r="C115" s="9">
        <f t="shared" si="4"/>
        <v>42</v>
      </c>
      <c r="D115" s="9">
        <f t="shared" si="5"/>
        <v>10</v>
      </c>
      <c r="E115" s="9">
        <f>VLOOKUP(C115,[3]WAU!A:C,3,0)</f>
        <v>201</v>
      </c>
      <c r="F115" s="9">
        <f>VLOOKUP(D115,[3]MAU!A:C,3,0)</f>
        <v>393</v>
      </c>
      <c r="G115" s="10">
        <f t="shared" si="6"/>
        <v>0.28358208955223879</v>
      </c>
      <c r="H115" s="11">
        <f t="shared" si="7"/>
        <v>0.14503816793893129</v>
      </c>
    </row>
    <row r="116" spans="1:8" x14ac:dyDescent="0.3">
      <c r="A116" s="2">
        <v>44858</v>
      </c>
      <c r="B116" s="8">
        <v>58</v>
      </c>
      <c r="C116" s="9">
        <f t="shared" si="4"/>
        <v>43</v>
      </c>
      <c r="D116" s="9">
        <f t="shared" si="5"/>
        <v>10</v>
      </c>
      <c r="E116" s="9">
        <f>VLOOKUP(C116,[3]WAU!A:C,3,0)</f>
        <v>213</v>
      </c>
      <c r="F116" s="9">
        <f>VLOOKUP(D116,[3]MAU!A:C,3,0)</f>
        <v>393</v>
      </c>
      <c r="G116" s="10">
        <f t="shared" si="6"/>
        <v>0.27230046948356806</v>
      </c>
      <c r="H116" s="11">
        <f t="shared" si="7"/>
        <v>0.1475826972010178</v>
      </c>
    </row>
    <row r="117" spans="1:8" x14ac:dyDescent="0.3">
      <c r="A117" s="2">
        <v>44859</v>
      </c>
      <c r="B117" s="8">
        <v>66</v>
      </c>
      <c r="C117" s="9">
        <f t="shared" si="4"/>
        <v>43</v>
      </c>
      <c r="D117" s="9">
        <f t="shared" si="5"/>
        <v>10</v>
      </c>
      <c r="E117" s="9">
        <f>VLOOKUP(C117,[3]WAU!A:C,3,0)</f>
        <v>213</v>
      </c>
      <c r="F117" s="9">
        <f>VLOOKUP(D117,[3]MAU!A:C,3,0)</f>
        <v>393</v>
      </c>
      <c r="G117" s="10">
        <f t="shared" si="6"/>
        <v>0.30985915492957744</v>
      </c>
      <c r="H117" s="11">
        <f t="shared" si="7"/>
        <v>0.16793893129770993</v>
      </c>
    </row>
    <row r="118" spans="1:8" x14ac:dyDescent="0.3">
      <c r="A118" s="2">
        <v>44860</v>
      </c>
      <c r="B118" s="8">
        <v>60</v>
      </c>
      <c r="C118" s="9">
        <f t="shared" si="4"/>
        <v>43</v>
      </c>
      <c r="D118" s="9">
        <f t="shared" si="5"/>
        <v>10</v>
      </c>
      <c r="E118" s="9">
        <f>VLOOKUP(C118,[3]WAU!A:C,3,0)</f>
        <v>213</v>
      </c>
      <c r="F118" s="9">
        <f>VLOOKUP(D118,[3]MAU!A:C,3,0)</f>
        <v>393</v>
      </c>
      <c r="G118" s="10">
        <f t="shared" si="6"/>
        <v>0.28169014084507044</v>
      </c>
      <c r="H118" s="11">
        <f t="shared" si="7"/>
        <v>0.15267175572519084</v>
      </c>
    </row>
    <row r="119" spans="1:8" x14ac:dyDescent="0.3">
      <c r="A119" s="2">
        <v>44861</v>
      </c>
      <c r="B119" s="8">
        <v>55</v>
      </c>
      <c r="C119" s="9">
        <f t="shared" si="4"/>
        <v>43</v>
      </c>
      <c r="D119" s="9">
        <f t="shared" si="5"/>
        <v>10</v>
      </c>
      <c r="E119" s="9">
        <f>VLOOKUP(C119,[3]WAU!A:C,3,0)</f>
        <v>213</v>
      </c>
      <c r="F119" s="9">
        <f>VLOOKUP(D119,[3]MAU!A:C,3,0)</f>
        <v>393</v>
      </c>
      <c r="G119" s="10">
        <f t="shared" si="6"/>
        <v>0.25821596244131456</v>
      </c>
      <c r="H119" s="11">
        <f t="shared" si="7"/>
        <v>0.13994910941475827</v>
      </c>
    </row>
    <row r="120" spans="1:8" x14ac:dyDescent="0.3">
      <c r="A120" s="2">
        <v>44862</v>
      </c>
      <c r="B120" s="8">
        <v>65</v>
      </c>
      <c r="C120" s="9">
        <f t="shared" si="4"/>
        <v>43</v>
      </c>
      <c r="D120" s="9">
        <f t="shared" si="5"/>
        <v>10</v>
      </c>
      <c r="E120" s="9">
        <f>VLOOKUP(C120,[3]WAU!A:C,3,0)</f>
        <v>213</v>
      </c>
      <c r="F120" s="9">
        <f>VLOOKUP(D120,[3]MAU!A:C,3,0)</f>
        <v>393</v>
      </c>
      <c r="G120" s="10">
        <f t="shared" si="6"/>
        <v>0.30516431924882631</v>
      </c>
      <c r="H120" s="11">
        <f t="shared" si="7"/>
        <v>0.16539440203562342</v>
      </c>
    </row>
    <row r="121" spans="1:8" x14ac:dyDescent="0.3">
      <c r="A121" s="2">
        <v>44863</v>
      </c>
      <c r="B121" s="8">
        <v>54</v>
      </c>
      <c r="C121" s="9">
        <f t="shared" si="4"/>
        <v>43</v>
      </c>
      <c r="D121" s="9">
        <f t="shared" si="5"/>
        <v>10</v>
      </c>
      <c r="E121" s="9">
        <f>VLOOKUP(C121,[3]WAU!A:C,3,0)</f>
        <v>213</v>
      </c>
      <c r="F121" s="9">
        <f>VLOOKUP(D121,[3]MAU!A:C,3,0)</f>
        <v>393</v>
      </c>
      <c r="G121" s="10">
        <f t="shared" si="6"/>
        <v>0.25352112676056338</v>
      </c>
      <c r="H121" s="11">
        <f t="shared" si="7"/>
        <v>0.13740458015267176</v>
      </c>
    </row>
    <row r="122" spans="1:8" x14ac:dyDescent="0.3">
      <c r="A122" s="2">
        <v>44864</v>
      </c>
      <c r="B122" s="8">
        <v>66</v>
      </c>
      <c r="C122" s="9">
        <f t="shared" si="4"/>
        <v>43</v>
      </c>
      <c r="D122" s="9">
        <f t="shared" si="5"/>
        <v>10</v>
      </c>
      <c r="E122" s="9">
        <f>VLOOKUP(C122,[3]WAU!A:C,3,0)</f>
        <v>213</v>
      </c>
      <c r="F122" s="9">
        <f>VLOOKUP(D122,[3]MAU!A:C,3,0)</f>
        <v>393</v>
      </c>
      <c r="G122" s="10">
        <f t="shared" si="6"/>
        <v>0.30985915492957744</v>
      </c>
      <c r="H122" s="11">
        <f t="shared" si="7"/>
        <v>0.16793893129770993</v>
      </c>
    </row>
    <row r="123" spans="1:8" x14ac:dyDescent="0.3">
      <c r="A123" s="2">
        <v>44865</v>
      </c>
      <c r="B123" s="8">
        <v>72</v>
      </c>
      <c r="C123" s="9">
        <f t="shared" si="4"/>
        <v>44</v>
      </c>
      <c r="D123" s="9">
        <f t="shared" si="5"/>
        <v>10</v>
      </c>
      <c r="E123" s="9">
        <f>VLOOKUP(C123,[3]WAU!A:C,3,0)</f>
        <v>214</v>
      </c>
      <c r="F123" s="9">
        <f>VLOOKUP(D123,[3]MAU!A:C,3,0)</f>
        <v>393</v>
      </c>
      <c r="G123" s="10">
        <f t="shared" si="6"/>
        <v>0.3364485981308411</v>
      </c>
      <c r="H123" s="11">
        <f t="shared" si="7"/>
        <v>0.18320610687022901</v>
      </c>
    </row>
    <row r="124" spans="1:8" x14ac:dyDescent="0.3">
      <c r="A124" s="2">
        <v>44866</v>
      </c>
      <c r="B124" s="8">
        <v>58</v>
      </c>
      <c r="C124" s="9">
        <f t="shared" si="4"/>
        <v>44</v>
      </c>
      <c r="D124" s="9">
        <f t="shared" si="5"/>
        <v>11</v>
      </c>
      <c r="E124" s="9">
        <f>VLOOKUP(C124,[3]WAU!A:C,3,0)</f>
        <v>214</v>
      </c>
      <c r="F124" s="9">
        <f>VLOOKUP(D124,[3]MAU!A:C,3,0)</f>
        <v>426</v>
      </c>
      <c r="G124" s="10">
        <f t="shared" si="6"/>
        <v>0.27102803738317754</v>
      </c>
      <c r="H124" s="11">
        <f t="shared" si="7"/>
        <v>0.13615023474178403</v>
      </c>
    </row>
    <row r="125" spans="1:8" x14ac:dyDescent="0.3">
      <c r="A125" s="2">
        <v>44867</v>
      </c>
      <c r="B125" s="8">
        <v>55</v>
      </c>
      <c r="C125" s="9">
        <f t="shared" si="4"/>
        <v>44</v>
      </c>
      <c r="D125" s="9">
        <f t="shared" si="5"/>
        <v>11</v>
      </c>
      <c r="E125" s="9">
        <f>VLOOKUP(C125,[3]WAU!A:C,3,0)</f>
        <v>214</v>
      </c>
      <c r="F125" s="9">
        <f>VLOOKUP(D125,[3]MAU!A:C,3,0)</f>
        <v>426</v>
      </c>
      <c r="G125" s="10">
        <f t="shared" si="6"/>
        <v>0.2570093457943925</v>
      </c>
      <c r="H125" s="11">
        <f t="shared" si="7"/>
        <v>0.12910798122065728</v>
      </c>
    </row>
    <row r="126" spans="1:8" x14ac:dyDescent="0.3">
      <c r="A126" s="2">
        <v>44868</v>
      </c>
      <c r="B126" s="8">
        <v>56</v>
      </c>
      <c r="C126" s="9">
        <f t="shared" si="4"/>
        <v>44</v>
      </c>
      <c r="D126" s="9">
        <f t="shared" si="5"/>
        <v>11</v>
      </c>
      <c r="E126" s="9">
        <f>VLOOKUP(C126,[3]WAU!A:C,3,0)</f>
        <v>214</v>
      </c>
      <c r="F126" s="9">
        <f>VLOOKUP(D126,[3]MAU!A:C,3,0)</f>
        <v>426</v>
      </c>
      <c r="G126" s="10">
        <f t="shared" si="6"/>
        <v>0.26168224299065418</v>
      </c>
      <c r="H126" s="11">
        <f t="shared" si="7"/>
        <v>0.13145539906103287</v>
      </c>
    </row>
    <row r="127" spans="1:8" x14ac:dyDescent="0.3">
      <c r="A127" s="2">
        <v>44869</v>
      </c>
      <c r="B127" s="8">
        <v>63</v>
      </c>
      <c r="C127" s="9">
        <f t="shared" si="4"/>
        <v>44</v>
      </c>
      <c r="D127" s="9">
        <f t="shared" si="5"/>
        <v>11</v>
      </c>
      <c r="E127" s="9">
        <f>VLOOKUP(C127,[3]WAU!A:C,3,0)</f>
        <v>214</v>
      </c>
      <c r="F127" s="9">
        <f>VLOOKUP(D127,[3]MAU!A:C,3,0)</f>
        <v>426</v>
      </c>
      <c r="G127" s="10">
        <f t="shared" si="6"/>
        <v>0.29439252336448596</v>
      </c>
      <c r="H127" s="11">
        <f t="shared" si="7"/>
        <v>0.14788732394366197</v>
      </c>
    </row>
    <row r="128" spans="1:8" x14ac:dyDescent="0.3">
      <c r="A128" s="2">
        <v>44870</v>
      </c>
      <c r="B128" s="8">
        <v>69</v>
      </c>
      <c r="C128" s="9">
        <f t="shared" si="4"/>
        <v>44</v>
      </c>
      <c r="D128" s="9">
        <f t="shared" si="5"/>
        <v>11</v>
      </c>
      <c r="E128" s="9">
        <f>VLOOKUP(C128,[3]WAU!A:C,3,0)</f>
        <v>214</v>
      </c>
      <c r="F128" s="9">
        <f>VLOOKUP(D128,[3]MAU!A:C,3,0)</f>
        <v>426</v>
      </c>
      <c r="G128" s="10">
        <f t="shared" si="6"/>
        <v>0.32242990654205606</v>
      </c>
      <c r="H128" s="11">
        <f t="shared" si="7"/>
        <v>0.1619718309859155</v>
      </c>
    </row>
    <row r="129" spans="1:8" x14ac:dyDescent="0.3">
      <c r="A129" s="2">
        <v>44871</v>
      </c>
      <c r="B129" s="8">
        <v>62</v>
      </c>
      <c r="C129" s="9">
        <f t="shared" si="4"/>
        <v>44</v>
      </c>
      <c r="D129" s="9">
        <f t="shared" si="5"/>
        <v>11</v>
      </c>
      <c r="E129" s="9">
        <f>VLOOKUP(C129,[3]WAU!A:C,3,0)</f>
        <v>214</v>
      </c>
      <c r="F129" s="9">
        <f>VLOOKUP(D129,[3]MAU!A:C,3,0)</f>
        <v>426</v>
      </c>
      <c r="G129" s="10">
        <f t="shared" si="6"/>
        <v>0.28971962616822428</v>
      </c>
      <c r="H129" s="11">
        <f t="shared" si="7"/>
        <v>0.14553990610328638</v>
      </c>
    </row>
    <row r="130" spans="1:8" x14ac:dyDescent="0.3">
      <c r="A130" s="2">
        <v>44872</v>
      </c>
      <c r="B130" s="8">
        <v>60</v>
      </c>
      <c r="C130" s="9">
        <f t="shared" si="4"/>
        <v>45</v>
      </c>
      <c r="D130" s="9">
        <f t="shared" si="5"/>
        <v>11</v>
      </c>
      <c r="E130" s="9">
        <f>VLOOKUP(C130,[3]WAU!A:C,3,0)</f>
        <v>203</v>
      </c>
      <c r="F130" s="9">
        <f>VLOOKUP(D130,[3]MAU!A:C,3,0)</f>
        <v>426</v>
      </c>
      <c r="G130" s="10">
        <f t="shared" si="6"/>
        <v>0.29556650246305421</v>
      </c>
      <c r="H130" s="11">
        <f t="shared" si="7"/>
        <v>0.14084507042253522</v>
      </c>
    </row>
    <row r="131" spans="1:8" x14ac:dyDescent="0.3">
      <c r="A131" s="2">
        <v>44873</v>
      </c>
      <c r="B131" s="8">
        <v>60</v>
      </c>
      <c r="C131" s="9">
        <f t="shared" ref="C131:C194" si="8">_xlfn.ISOWEEKNUM(A131)</f>
        <v>45</v>
      </c>
      <c r="D131" s="9">
        <f t="shared" ref="D131:D194" si="9">MONTH(A131)</f>
        <v>11</v>
      </c>
      <c r="E131" s="9">
        <f>VLOOKUP(C131,[3]WAU!A:C,3,0)</f>
        <v>203</v>
      </c>
      <c r="F131" s="9">
        <f>VLOOKUP(D131,[3]MAU!A:C,3,0)</f>
        <v>426</v>
      </c>
      <c r="G131" s="10">
        <f t="shared" ref="G131:G194" si="10">B131/E131</f>
        <v>0.29556650246305421</v>
      </c>
      <c r="H131" s="11">
        <f t="shared" ref="H131:H194" si="11">B131/F131</f>
        <v>0.14084507042253522</v>
      </c>
    </row>
    <row r="132" spans="1:8" x14ac:dyDescent="0.3">
      <c r="A132" s="2">
        <v>44874</v>
      </c>
      <c r="B132" s="8">
        <v>60</v>
      </c>
      <c r="C132" s="9">
        <f t="shared" si="8"/>
        <v>45</v>
      </c>
      <c r="D132" s="9">
        <f t="shared" si="9"/>
        <v>11</v>
      </c>
      <c r="E132" s="9">
        <f>VLOOKUP(C132,[3]WAU!A:C,3,0)</f>
        <v>203</v>
      </c>
      <c r="F132" s="9">
        <f>VLOOKUP(D132,[3]MAU!A:C,3,0)</f>
        <v>426</v>
      </c>
      <c r="G132" s="10">
        <f t="shared" si="10"/>
        <v>0.29556650246305421</v>
      </c>
      <c r="H132" s="11">
        <f t="shared" si="11"/>
        <v>0.14084507042253522</v>
      </c>
    </row>
    <row r="133" spans="1:8" x14ac:dyDescent="0.3">
      <c r="A133" s="2">
        <v>44875</v>
      </c>
      <c r="B133" s="8">
        <v>55</v>
      </c>
      <c r="C133" s="9">
        <f t="shared" si="8"/>
        <v>45</v>
      </c>
      <c r="D133" s="9">
        <f t="shared" si="9"/>
        <v>11</v>
      </c>
      <c r="E133" s="9">
        <f>VLOOKUP(C133,[3]WAU!A:C,3,0)</f>
        <v>203</v>
      </c>
      <c r="F133" s="9">
        <f>VLOOKUP(D133,[3]MAU!A:C,3,0)</f>
        <v>426</v>
      </c>
      <c r="G133" s="10">
        <f t="shared" si="10"/>
        <v>0.27093596059113301</v>
      </c>
      <c r="H133" s="11">
        <f t="shared" si="11"/>
        <v>0.12910798122065728</v>
      </c>
    </row>
    <row r="134" spans="1:8" x14ac:dyDescent="0.3">
      <c r="A134" s="2">
        <v>44876</v>
      </c>
      <c r="B134" s="8">
        <v>62</v>
      </c>
      <c r="C134" s="9">
        <f t="shared" si="8"/>
        <v>45</v>
      </c>
      <c r="D134" s="9">
        <f t="shared" si="9"/>
        <v>11</v>
      </c>
      <c r="E134" s="9">
        <f>VLOOKUP(C134,[3]WAU!A:C,3,0)</f>
        <v>203</v>
      </c>
      <c r="F134" s="9">
        <f>VLOOKUP(D134,[3]MAU!A:C,3,0)</f>
        <v>426</v>
      </c>
      <c r="G134" s="10">
        <f t="shared" si="10"/>
        <v>0.30541871921182268</v>
      </c>
      <c r="H134" s="11">
        <f t="shared" si="11"/>
        <v>0.14553990610328638</v>
      </c>
    </row>
    <row r="135" spans="1:8" x14ac:dyDescent="0.3">
      <c r="A135" s="2">
        <v>44877</v>
      </c>
      <c r="B135" s="8">
        <v>53</v>
      </c>
      <c r="C135" s="9">
        <f t="shared" si="8"/>
        <v>45</v>
      </c>
      <c r="D135" s="9">
        <f t="shared" si="9"/>
        <v>11</v>
      </c>
      <c r="E135" s="9">
        <f>VLOOKUP(C135,[3]WAU!A:C,3,0)</f>
        <v>203</v>
      </c>
      <c r="F135" s="9">
        <f>VLOOKUP(D135,[3]MAU!A:C,3,0)</f>
        <v>426</v>
      </c>
      <c r="G135" s="10">
        <f t="shared" si="10"/>
        <v>0.26108374384236455</v>
      </c>
      <c r="H135" s="11">
        <f t="shared" si="11"/>
        <v>0.12441314553990611</v>
      </c>
    </row>
    <row r="136" spans="1:8" x14ac:dyDescent="0.3">
      <c r="A136" s="2">
        <v>44878</v>
      </c>
      <c r="B136" s="8">
        <v>54</v>
      </c>
      <c r="C136" s="9">
        <f t="shared" si="8"/>
        <v>45</v>
      </c>
      <c r="D136" s="9">
        <f t="shared" si="9"/>
        <v>11</v>
      </c>
      <c r="E136" s="9">
        <f>VLOOKUP(C136,[3]WAU!A:C,3,0)</f>
        <v>203</v>
      </c>
      <c r="F136" s="9">
        <f>VLOOKUP(D136,[3]MAU!A:C,3,0)</f>
        <v>426</v>
      </c>
      <c r="G136" s="10">
        <f t="shared" si="10"/>
        <v>0.26600985221674878</v>
      </c>
      <c r="H136" s="11">
        <f t="shared" si="11"/>
        <v>0.12676056338028169</v>
      </c>
    </row>
    <row r="137" spans="1:8" x14ac:dyDescent="0.3">
      <c r="A137" s="2">
        <v>44879</v>
      </c>
      <c r="B137" s="8">
        <v>46</v>
      </c>
      <c r="C137" s="9">
        <f t="shared" si="8"/>
        <v>46</v>
      </c>
      <c r="D137" s="9">
        <f t="shared" si="9"/>
        <v>11</v>
      </c>
      <c r="E137" s="9">
        <f>VLOOKUP(C137,[3]WAU!A:C,3,0)</f>
        <v>202</v>
      </c>
      <c r="F137" s="9">
        <f>VLOOKUP(D137,[3]MAU!A:C,3,0)</f>
        <v>426</v>
      </c>
      <c r="G137" s="10">
        <f t="shared" si="10"/>
        <v>0.22772277227722773</v>
      </c>
      <c r="H137" s="11">
        <f t="shared" si="11"/>
        <v>0.107981220657277</v>
      </c>
    </row>
    <row r="138" spans="1:8" x14ac:dyDescent="0.3">
      <c r="A138" s="2">
        <v>44880</v>
      </c>
      <c r="B138" s="8">
        <v>55</v>
      </c>
      <c r="C138" s="9">
        <f t="shared" si="8"/>
        <v>46</v>
      </c>
      <c r="D138" s="9">
        <f t="shared" si="9"/>
        <v>11</v>
      </c>
      <c r="E138" s="9">
        <f>VLOOKUP(C138,[3]WAU!A:C,3,0)</f>
        <v>202</v>
      </c>
      <c r="F138" s="9">
        <f>VLOOKUP(D138,[3]MAU!A:C,3,0)</f>
        <v>426</v>
      </c>
      <c r="G138" s="10">
        <f t="shared" si="10"/>
        <v>0.2722772277227723</v>
      </c>
      <c r="H138" s="11">
        <f t="shared" si="11"/>
        <v>0.12910798122065728</v>
      </c>
    </row>
    <row r="139" spans="1:8" x14ac:dyDescent="0.3">
      <c r="A139" s="2">
        <v>44881</v>
      </c>
      <c r="B139" s="8">
        <v>51</v>
      </c>
      <c r="C139" s="9">
        <f t="shared" si="8"/>
        <v>46</v>
      </c>
      <c r="D139" s="9">
        <f t="shared" si="9"/>
        <v>11</v>
      </c>
      <c r="E139" s="9">
        <f>VLOOKUP(C139,[3]WAU!A:C,3,0)</f>
        <v>202</v>
      </c>
      <c r="F139" s="9">
        <f>VLOOKUP(D139,[3]MAU!A:C,3,0)</f>
        <v>426</v>
      </c>
      <c r="G139" s="10">
        <f t="shared" si="10"/>
        <v>0.25247524752475248</v>
      </c>
      <c r="H139" s="11">
        <f t="shared" si="11"/>
        <v>0.11971830985915492</v>
      </c>
    </row>
    <row r="140" spans="1:8" x14ac:dyDescent="0.3">
      <c r="A140" s="2">
        <v>44882</v>
      </c>
      <c r="B140" s="8">
        <v>58</v>
      </c>
      <c r="C140" s="9">
        <f t="shared" si="8"/>
        <v>46</v>
      </c>
      <c r="D140" s="9">
        <f t="shared" si="9"/>
        <v>11</v>
      </c>
      <c r="E140" s="9">
        <f>VLOOKUP(C140,[3]WAU!A:C,3,0)</f>
        <v>202</v>
      </c>
      <c r="F140" s="9">
        <f>VLOOKUP(D140,[3]MAU!A:C,3,0)</f>
        <v>426</v>
      </c>
      <c r="G140" s="10">
        <f t="shared" si="10"/>
        <v>0.28712871287128711</v>
      </c>
      <c r="H140" s="11">
        <f t="shared" si="11"/>
        <v>0.13615023474178403</v>
      </c>
    </row>
    <row r="141" spans="1:8" x14ac:dyDescent="0.3">
      <c r="A141" s="2">
        <v>44883</v>
      </c>
      <c r="B141" s="8">
        <v>51</v>
      </c>
      <c r="C141" s="9">
        <f t="shared" si="8"/>
        <v>46</v>
      </c>
      <c r="D141" s="9">
        <f t="shared" si="9"/>
        <v>11</v>
      </c>
      <c r="E141" s="9">
        <f>VLOOKUP(C141,[3]WAU!A:C,3,0)</f>
        <v>202</v>
      </c>
      <c r="F141" s="9">
        <f>VLOOKUP(D141,[3]MAU!A:C,3,0)</f>
        <v>426</v>
      </c>
      <c r="G141" s="10">
        <f t="shared" si="10"/>
        <v>0.25247524752475248</v>
      </c>
      <c r="H141" s="11">
        <f t="shared" si="11"/>
        <v>0.11971830985915492</v>
      </c>
    </row>
    <row r="142" spans="1:8" x14ac:dyDescent="0.3">
      <c r="A142" s="2">
        <v>44884</v>
      </c>
      <c r="B142" s="8">
        <v>40</v>
      </c>
      <c r="C142" s="9">
        <f t="shared" si="8"/>
        <v>46</v>
      </c>
      <c r="D142" s="9">
        <f t="shared" si="9"/>
        <v>11</v>
      </c>
      <c r="E142" s="9">
        <f>VLOOKUP(C142,[3]WAU!A:C,3,0)</f>
        <v>202</v>
      </c>
      <c r="F142" s="9">
        <f>VLOOKUP(D142,[3]MAU!A:C,3,0)</f>
        <v>426</v>
      </c>
      <c r="G142" s="10">
        <f t="shared" si="10"/>
        <v>0.19801980198019803</v>
      </c>
      <c r="H142" s="11">
        <f t="shared" si="11"/>
        <v>9.3896713615023469E-2</v>
      </c>
    </row>
    <row r="143" spans="1:8" x14ac:dyDescent="0.3">
      <c r="A143" s="2">
        <v>44885</v>
      </c>
      <c r="B143" s="8">
        <v>50</v>
      </c>
      <c r="C143" s="9">
        <f t="shared" si="8"/>
        <v>46</v>
      </c>
      <c r="D143" s="9">
        <f t="shared" si="9"/>
        <v>11</v>
      </c>
      <c r="E143" s="9">
        <f>VLOOKUP(C143,[3]WAU!A:C,3,0)</f>
        <v>202</v>
      </c>
      <c r="F143" s="9">
        <f>VLOOKUP(D143,[3]MAU!A:C,3,0)</f>
        <v>426</v>
      </c>
      <c r="G143" s="10">
        <f t="shared" si="10"/>
        <v>0.24752475247524752</v>
      </c>
      <c r="H143" s="11">
        <f t="shared" si="11"/>
        <v>0.11737089201877934</v>
      </c>
    </row>
    <row r="144" spans="1:8" x14ac:dyDescent="0.3">
      <c r="A144" s="2">
        <v>44886</v>
      </c>
      <c r="B144" s="8">
        <v>34</v>
      </c>
      <c r="C144" s="9">
        <f t="shared" si="8"/>
        <v>47</v>
      </c>
      <c r="D144" s="9">
        <f t="shared" si="9"/>
        <v>11</v>
      </c>
      <c r="E144" s="9">
        <f>VLOOKUP(C144,[3]WAU!A:C,3,0)</f>
        <v>167</v>
      </c>
      <c r="F144" s="9">
        <f>VLOOKUP(D144,[3]MAU!A:C,3,0)</f>
        <v>426</v>
      </c>
      <c r="G144" s="10">
        <f t="shared" si="10"/>
        <v>0.20359281437125748</v>
      </c>
      <c r="H144" s="11">
        <f t="shared" si="11"/>
        <v>7.9812206572769953E-2</v>
      </c>
    </row>
    <row r="145" spans="1:8" x14ac:dyDescent="0.3">
      <c r="A145" s="2">
        <v>44887</v>
      </c>
      <c r="B145" s="8">
        <v>41</v>
      </c>
      <c r="C145" s="9">
        <f t="shared" si="8"/>
        <v>47</v>
      </c>
      <c r="D145" s="9">
        <f t="shared" si="9"/>
        <v>11</v>
      </c>
      <c r="E145" s="9">
        <f>VLOOKUP(C145,[3]WAU!A:C,3,0)</f>
        <v>167</v>
      </c>
      <c r="F145" s="9">
        <f>VLOOKUP(D145,[3]MAU!A:C,3,0)</f>
        <v>426</v>
      </c>
      <c r="G145" s="10">
        <f t="shared" si="10"/>
        <v>0.24550898203592814</v>
      </c>
      <c r="H145" s="11">
        <f t="shared" si="11"/>
        <v>9.6244131455399062E-2</v>
      </c>
    </row>
    <row r="146" spans="1:8" x14ac:dyDescent="0.3">
      <c r="A146" s="2">
        <v>44888</v>
      </c>
      <c r="B146" s="8">
        <v>39</v>
      </c>
      <c r="C146" s="9">
        <f t="shared" si="8"/>
        <v>47</v>
      </c>
      <c r="D146" s="9">
        <f t="shared" si="9"/>
        <v>11</v>
      </c>
      <c r="E146" s="9">
        <f>VLOOKUP(C146,[3]WAU!A:C,3,0)</f>
        <v>167</v>
      </c>
      <c r="F146" s="9">
        <f>VLOOKUP(D146,[3]MAU!A:C,3,0)</f>
        <v>426</v>
      </c>
      <c r="G146" s="10">
        <f t="shared" si="10"/>
        <v>0.23353293413173654</v>
      </c>
      <c r="H146" s="11">
        <f t="shared" si="11"/>
        <v>9.154929577464789E-2</v>
      </c>
    </row>
    <row r="147" spans="1:8" x14ac:dyDescent="0.3">
      <c r="A147" s="2">
        <v>44889</v>
      </c>
      <c r="B147" s="8">
        <v>32</v>
      </c>
      <c r="C147" s="9">
        <f t="shared" si="8"/>
        <v>47</v>
      </c>
      <c r="D147" s="9">
        <f t="shared" si="9"/>
        <v>11</v>
      </c>
      <c r="E147" s="9">
        <f>VLOOKUP(C147,[3]WAU!A:C,3,0)</f>
        <v>167</v>
      </c>
      <c r="F147" s="9">
        <f>VLOOKUP(D147,[3]MAU!A:C,3,0)</f>
        <v>426</v>
      </c>
      <c r="G147" s="10">
        <f t="shared" si="10"/>
        <v>0.19161676646706588</v>
      </c>
      <c r="H147" s="11">
        <f t="shared" si="11"/>
        <v>7.5117370892018781E-2</v>
      </c>
    </row>
    <row r="148" spans="1:8" x14ac:dyDescent="0.3">
      <c r="A148" s="2">
        <v>44890</v>
      </c>
      <c r="B148" s="8">
        <v>32</v>
      </c>
      <c r="C148" s="9">
        <f t="shared" si="8"/>
        <v>47</v>
      </c>
      <c r="D148" s="9">
        <f t="shared" si="9"/>
        <v>11</v>
      </c>
      <c r="E148" s="9">
        <f>VLOOKUP(C148,[3]WAU!A:C,3,0)</f>
        <v>167</v>
      </c>
      <c r="F148" s="9">
        <f>VLOOKUP(D148,[3]MAU!A:C,3,0)</f>
        <v>426</v>
      </c>
      <c r="G148" s="10">
        <f t="shared" si="10"/>
        <v>0.19161676646706588</v>
      </c>
      <c r="H148" s="11">
        <f t="shared" si="11"/>
        <v>7.5117370892018781E-2</v>
      </c>
    </row>
    <row r="149" spans="1:8" x14ac:dyDescent="0.3">
      <c r="A149" s="2">
        <v>44891</v>
      </c>
      <c r="B149" s="8">
        <v>31</v>
      </c>
      <c r="C149" s="9">
        <f t="shared" si="8"/>
        <v>47</v>
      </c>
      <c r="D149" s="9">
        <f t="shared" si="9"/>
        <v>11</v>
      </c>
      <c r="E149" s="9">
        <f>VLOOKUP(C149,[3]WAU!A:C,3,0)</f>
        <v>167</v>
      </c>
      <c r="F149" s="9">
        <f>VLOOKUP(D149,[3]MAU!A:C,3,0)</f>
        <v>426</v>
      </c>
      <c r="G149" s="10">
        <f t="shared" si="10"/>
        <v>0.18562874251497005</v>
      </c>
      <c r="H149" s="11">
        <f t="shared" si="11"/>
        <v>7.2769953051643188E-2</v>
      </c>
    </row>
    <row r="150" spans="1:8" x14ac:dyDescent="0.3">
      <c r="A150" s="2">
        <v>44892</v>
      </c>
      <c r="B150" s="8">
        <v>35</v>
      </c>
      <c r="C150" s="9">
        <f t="shared" si="8"/>
        <v>47</v>
      </c>
      <c r="D150" s="9">
        <f t="shared" si="9"/>
        <v>11</v>
      </c>
      <c r="E150" s="9">
        <f>VLOOKUP(C150,[3]WAU!A:C,3,0)</f>
        <v>167</v>
      </c>
      <c r="F150" s="9">
        <f>VLOOKUP(D150,[3]MAU!A:C,3,0)</f>
        <v>426</v>
      </c>
      <c r="G150" s="10">
        <f t="shared" si="10"/>
        <v>0.20958083832335328</v>
      </c>
      <c r="H150" s="11">
        <f t="shared" si="11"/>
        <v>8.2159624413145546E-2</v>
      </c>
    </row>
    <row r="151" spans="1:8" x14ac:dyDescent="0.3">
      <c r="A151" s="2">
        <v>44893</v>
      </c>
      <c r="B151" s="8">
        <v>32</v>
      </c>
      <c r="C151" s="9">
        <f t="shared" si="8"/>
        <v>48</v>
      </c>
      <c r="D151" s="9">
        <f t="shared" si="9"/>
        <v>11</v>
      </c>
      <c r="E151" s="9">
        <f>VLOOKUP(C151,[3]WAU!A:C,3,0)</f>
        <v>157</v>
      </c>
      <c r="F151" s="9">
        <f>VLOOKUP(D151,[3]MAU!A:C,3,0)</f>
        <v>426</v>
      </c>
      <c r="G151" s="10">
        <f t="shared" si="10"/>
        <v>0.20382165605095542</v>
      </c>
      <c r="H151" s="11">
        <f t="shared" si="11"/>
        <v>7.5117370892018781E-2</v>
      </c>
    </row>
    <row r="152" spans="1:8" x14ac:dyDescent="0.3">
      <c r="A152" s="2">
        <v>44894</v>
      </c>
      <c r="B152" s="8">
        <v>23</v>
      </c>
      <c r="C152" s="9">
        <f t="shared" si="8"/>
        <v>48</v>
      </c>
      <c r="D152" s="9">
        <f t="shared" si="9"/>
        <v>11</v>
      </c>
      <c r="E152" s="9">
        <f>VLOOKUP(C152,[3]WAU!A:C,3,0)</f>
        <v>157</v>
      </c>
      <c r="F152" s="9">
        <f>VLOOKUP(D152,[3]MAU!A:C,3,0)</f>
        <v>426</v>
      </c>
      <c r="G152" s="10">
        <f t="shared" si="10"/>
        <v>0.1464968152866242</v>
      </c>
      <c r="H152" s="11">
        <f t="shared" si="11"/>
        <v>5.39906103286385E-2</v>
      </c>
    </row>
    <row r="153" spans="1:8" x14ac:dyDescent="0.3">
      <c r="A153" s="2">
        <v>44895</v>
      </c>
      <c r="B153" s="8">
        <v>35</v>
      </c>
      <c r="C153" s="9">
        <f t="shared" si="8"/>
        <v>48</v>
      </c>
      <c r="D153" s="9">
        <f t="shared" si="9"/>
        <v>11</v>
      </c>
      <c r="E153" s="9">
        <f>VLOOKUP(C153,[3]WAU!A:C,3,0)</f>
        <v>157</v>
      </c>
      <c r="F153" s="9">
        <f>VLOOKUP(D153,[3]MAU!A:C,3,0)</f>
        <v>426</v>
      </c>
      <c r="G153" s="10">
        <f t="shared" si="10"/>
        <v>0.22292993630573249</v>
      </c>
      <c r="H153" s="11">
        <f t="shared" si="11"/>
        <v>8.2159624413145546E-2</v>
      </c>
    </row>
    <row r="154" spans="1:8" x14ac:dyDescent="0.3">
      <c r="A154" s="2">
        <v>44896</v>
      </c>
      <c r="B154" s="8">
        <v>32</v>
      </c>
      <c r="C154" s="9">
        <f t="shared" si="8"/>
        <v>48</v>
      </c>
      <c r="D154" s="9">
        <f t="shared" si="9"/>
        <v>12</v>
      </c>
      <c r="E154" s="9">
        <f>VLOOKUP(C154,[3]WAU!A:C,3,0)</f>
        <v>157</v>
      </c>
      <c r="F154" s="9">
        <f>VLOOKUP(D154,[3]MAU!A:C,3,0)</f>
        <v>390</v>
      </c>
      <c r="G154" s="10">
        <f t="shared" si="10"/>
        <v>0.20382165605095542</v>
      </c>
      <c r="H154" s="11">
        <f t="shared" si="11"/>
        <v>8.2051282051282051E-2</v>
      </c>
    </row>
    <row r="155" spans="1:8" x14ac:dyDescent="0.3">
      <c r="A155" s="2">
        <v>44897</v>
      </c>
      <c r="B155" s="8">
        <v>25</v>
      </c>
      <c r="C155" s="9">
        <f t="shared" si="8"/>
        <v>48</v>
      </c>
      <c r="D155" s="9">
        <f t="shared" si="9"/>
        <v>12</v>
      </c>
      <c r="E155" s="9">
        <f>VLOOKUP(C155,[3]WAU!A:C,3,0)</f>
        <v>157</v>
      </c>
      <c r="F155" s="9">
        <f>VLOOKUP(D155,[3]MAU!A:C,3,0)</f>
        <v>390</v>
      </c>
      <c r="G155" s="10">
        <f t="shared" si="10"/>
        <v>0.15923566878980891</v>
      </c>
      <c r="H155" s="11">
        <f t="shared" si="11"/>
        <v>6.4102564102564097E-2</v>
      </c>
    </row>
    <row r="156" spans="1:8" x14ac:dyDescent="0.3">
      <c r="A156" s="2">
        <v>44898</v>
      </c>
      <c r="B156" s="8">
        <v>19</v>
      </c>
      <c r="C156" s="9">
        <f t="shared" si="8"/>
        <v>48</v>
      </c>
      <c r="D156" s="9">
        <f t="shared" si="9"/>
        <v>12</v>
      </c>
      <c r="E156" s="9">
        <f>VLOOKUP(C156,[3]WAU!A:C,3,0)</f>
        <v>157</v>
      </c>
      <c r="F156" s="9">
        <f>VLOOKUP(D156,[3]MAU!A:C,3,0)</f>
        <v>390</v>
      </c>
      <c r="G156" s="10">
        <f t="shared" si="10"/>
        <v>0.12101910828025478</v>
      </c>
      <c r="H156" s="11">
        <f t="shared" si="11"/>
        <v>4.8717948717948718E-2</v>
      </c>
    </row>
    <row r="157" spans="1:8" x14ac:dyDescent="0.3">
      <c r="A157" s="2">
        <v>44899</v>
      </c>
      <c r="B157" s="8">
        <v>30</v>
      </c>
      <c r="C157" s="9">
        <f t="shared" si="8"/>
        <v>48</v>
      </c>
      <c r="D157" s="9">
        <f t="shared" si="9"/>
        <v>12</v>
      </c>
      <c r="E157" s="9">
        <f>VLOOKUP(C157,[3]WAU!A:C,3,0)</f>
        <v>157</v>
      </c>
      <c r="F157" s="9">
        <f>VLOOKUP(D157,[3]MAU!A:C,3,0)</f>
        <v>390</v>
      </c>
      <c r="G157" s="10">
        <f t="shared" si="10"/>
        <v>0.19108280254777071</v>
      </c>
      <c r="H157" s="11">
        <f t="shared" si="11"/>
        <v>7.6923076923076927E-2</v>
      </c>
    </row>
    <row r="158" spans="1:8" x14ac:dyDescent="0.3">
      <c r="A158" s="2">
        <v>44900</v>
      </c>
      <c r="B158" s="8">
        <v>23</v>
      </c>
      <c r="C158" s="9">
        <f t="shared" si="8"/>
        <v>49</v>
      </c>
      <c r="D158" s="9">
        <f t="shared" si="9"/>
        <v>12</v>
      </c>
      <c r="E158" s="9">
        <f>VLOOKUP(C158,[3]WAU!A:C,3,0)</f>
        <v>156</v>
      </c>
      <c r="F158" s="9">
        <f>VLOOKUP(D158,[3]MAU!A:C,3,0)</f>
        <v>390</v>
      </c>
      <c r="G158" s="10">
        <f t="shared" si="10"/>
        <v>0.14743589743589744</v>
      </c>
      <c r="H158" s="11">
        <f t="shared" si="11"/>
        <v>5.8974358974358973E-2</v>
      </c>
    </row>
    <row r="159" spans="1:8" x14ac:dyDescent="0.3">
      <c r="A159" s="2">
        <v>44901</v>
      </c>
      <c r="B159" s="8">
        <v>32</v>
      </c>
      <c r="C159" s="9">
        <f t="shared" si="8"/>
        <v>49</v>
      </c>
      <c r="D159" s="9">
        <f t="shared" si="9"/>
        <v>12</v>
      </c>
      <c r="E159" s="9">
        <f>VLOOKUP(C159,[3]WAU!A:C,3,0)</f>
        <v>156</v>
      </c>
      <c r="F159" s="9">
        <f>VLOOKUP(D159,[3]MAU!A:C,3,0)</f>
        <v>390</v>
      </c>
      <c r="G159" s="10">
        <f t="shared" si="10"/>
        <v>0.20512820512820512</v>
      </c>
      <c r="H159" s="11">
        <f t="shared" si="11"/>
        <v>8.2051282051282051E-2</v>
      </c>
    </row>
    <row r="160" spans="1:8" x14ac:dyDescent="0.3">
      <c r="A160" s="2">
        <v>44902</v>
      </c>
      <c r="B160" s="8">
        <v>35</v>
      </c>
      <c r="C160" s="9">
        <f t="shared" si="8"/>
        <v>49</v>
      </c>
      <c r="D160" s="9">
        <f t="shared" si="9"/>
        <v>12</v>
      </c>
      <c r="E160" s="9">
        <f>VLOOKUP(C160,[3]WAU!A:C,3,0)</f>
        <v>156</v>
      </c>
      <c r="F160" s="9">
        <f>VLOOKUP(D160,[3]MAU!A:C,3,0)</f>
        <v>390</v>
      </c>
      <c r="G160" s="10">
        <f t="shared" si="10"/>
        <v>0.22435897435897437</v>
      </c>
      <c r="H160" s="11">
        <f t="shared" si="11"/>
        <v>8.9743589743589744E-2</v>
      </c>
    </row>
    <row r="161" spans="1:8" x14ac:dyDescent="0.3">
      <c r="A161" s="2">
        <v>44903</v>
      </c>
      <c r="B161" s="8">
        <v>29</v>
      </c>
      <c r="C161" s="9">
        <f t="shared" si="8"/>
        <v>49</v>
      </c>
      <c r="D161" s="9">
        <f t="shared" si="9"/>
        <v>12</v>
      </c>
      <c r="E161" s="9">
        <f>VLOOKUP(C161,[3]WAU!A:C,3,0)</f>
        <v>156</v>
      </c>
      <c r="F161" s="9">
        <f>VLOOKUP(D161,[3]MAU!A:C,3,0)</f>
        <v>390</v>
      </c>
      <c r="G161" s="10">
        <f t="shared" si="10"/>
        <v>0.1858974358974359</v>
      </c>
      <c r="H161" s="11">
        <f t="shared" si="11"/>
        <v>7.4358974358974358E-2</v>
      </c>
    </row>
    <row r="162" spans="1:8" x14ac:dyDescent="0.3">
      <c r="A162" s="2">
        <v>44904</v>
      </c>
      <c r="B162" s="8">
        <v>36</v>
      </c>
      <c r="C162" s="9">
        <f t="shared" si="8"/>
        <v>49</v>
      </c>
      <c r="D162" s="9">
        <f t="shared" si="9"/>
        <v>12</v>
      </c>
      <c r="E162" s="9">
        <f>VLOOKUP(C162,[3]WAU!A:C,3,0)</f>
        <v>156</v>
      </c>
      <c r="F162" s="9">
        <f>VLOOKUP(D162,[3]MAU!A:C,3,0)</f>
        <v>390</v>
      </c>
      <c r="G162" s="10">
        <f t="shared" si="10"/>
        <v>0.23076923076923078</v>
      </c>
      <c r="H162" s="11">
        <f t="shared" si="11"/>
        <v>9.2307692307692313E-2</v>
      </c>
    </row>
    <row r="163" spans="1:8" x14ac:dyDescent="0.3">
      <c r="A163" s="2">
        <v>44905</v>
      </c>
      <c r="B163" s="8">
        <v>30</v>
      </c>
      <c r="C163" s="9">
        <f t="shared" si="8"/>
        <v>49</v>
      </c>
      <c r="D163" s="9">
        <f t="shared" si="9"/>
        <v>12</v>
      </c>
      <c r="E163" s="9">
        <f>VLOOKUP(C163,[3]WAU!A:C,3,0)</f>
        <v>156</v>
      </c>
      <c r="F163" s="9">
        <f>VLOOKUP(D163,[3]MAU!A:C,3,0)</f>
        <v>390</v>
      </c>
      <c r="G163" s="10">
        <f t="shared" si="10"/>
        <v>0.19230769230769232</v>
      </c>
      <c r="H163" s="11">
        <f t="shared" si="11"/>
        <v>7.6923076923076927E-2</v>
      </c>
    </row>
    <row r="164" spans="1:8" x14ac:dyDescent="0.3">
      <c r="A164" s="2">
        <v>44906</v>
      </c>
      <c r="B164" s="8">
        <v>25</v>
      </c>
      <c r="C164" s="9">
        <f t="shared" si="8"/>
        <v>49</v>
      </c>
      <c r="D164" s="9">
        <f t="shared" si="9"/>
        <v>12</v>
      </c>
      <c r="E164" s="9">
        <f>VLOOKUP(C164,[3]WAU!A:C,3,0)</f>
        <v>156</v>
      </c>
      <c r="F164" s="9">
        <f>VLOOKUP(D164,[3]MAU!A:C,3,0)</f>
        <v>390</v>
      </c>
      <c r="G164" s="10">
        <f t="shared" si="10"/>
        <v>0.16025641025641027</v>
      </c>
      <c r="H164" s="11">
        <f t="shared" si="11"/>
        <v>6.4102564102564097E-2</v>
      </c>
    </row>
    <row r="165" spans="1:8" x14ac:dyDescent="0.3">
      <c r="A165" s="2">
        <v>44907</v>
      </c>
      <c r="B165" s="8">
        <v>31</v>
      </c>
      <c r="C165" s="9">
        <f t="shared" si="8"/>
        <v>50</v>
      </c>
      <c r="D165" s="9">
        <f t="shared" si="9"/>
        <v>12</v>
      </c>
      <c r="E165" s="9">
        <f>VLOOKUP(C165,[3]WAU!A:C,3,0)</f>
        <v>153</v>
      </c>
      <c r="F165" s="9">
        <f>VLOOKUP(D165,[3]MAU!A:C,3,0)</f>
        <v>390</v>
      </c>
      <c r="G165" s="10">
        <f t="shared" si="10"/>
        <v>0.20261437908496732</v>
      </c>
      <c r="H165" s="11">
        <f t="shared" si="11"/>
        <v>7.9487179487179482E-2</v>
      </c>
    </row>
    <row r="166" spans="1:8" x14ac:dyDescent="0.3">
      <c r="A166" s="2">
        <v>44908</v>
      </c>
      <c r="B166" s="8">
        <v>34</v>
      </c>
      <c r="C166" s="9">
        <f t="shared" si="8"/>
        <v>50</v>
      </c>
      <c r="D166" s="9">
        <f t="shared" si="9"/>
        <v>12</v>
      </c>
      <c r="E166" s="9">
        <f>VLOOKUP(C166,[3]WAU!A:C,3,0)</f>
        <v>153</v>
      </c>
      <c r="F166" s="9">
        <f>VLOOKUP(D166,[3]MAU!A:C,3,0)</f>
        <v>390</v>
      </c>
      <c r="G166" s="10">
        <f t="shared" si="10"/>
        <v>0.22222222222222221</v>
      </c>
      <c r="H166" s="11">
        <f t="shared" si="11"/>
        <v>8.7179487179487175E-2</v>
      </c>
    </row>
    <row r="167" spans="1:8" x14ac:dyDescent="0.3">
      <c r="A167" s="2">
        <v>44909</v>
      </c>
      <c r="B167" s="8">
        <v>22</v>
      </c>
      <c r="C167" s="9">
        <f t="shared" si="8"/>
        <v>50</v>
      </c>
      <c r="D167" s="9">
        <f t="shared" si="9"/>
        <v>12</v>
      </c>
      <c r="E167" s="9">
        <f>VLOOKUP(C167,[3]WAU!A:C,3,0)</f>
        <v>153</v>
      </c>
      <c r="F167" s="9">
        <f>VLOOKUP(D167,[3]MAU!A:C,3,0)</f>
        <v>390</v>
      </c>
      <c r="G167" s="10">
        <f t="shared" si="10"/>
        <v>0.1437908496732026</v>
      </c>
      <c r="H167" s="11">
        <f t="shared" si="11"/>
        <v>5.6410256410256411E-2</v>
      </c>
    </row>
    <row r="168" spans="1:8" x14ac:dyDescent="0.3">
      <c r="A168" s="2">
        <v>44910</v>
      </c>
      <c r="B168" s="8">
        <v>26</v>
      </c>
      <c r="C168" s="9">
        <f t="shared" si="8"/>
        <v>50</v>
      </c>
      <c r="D168" s="9">
        <f t="shared" si="9"/>
        <v>12</v>
      </c>
      <c r="E168" s="9">
        <f>VLOOKUP(C168,[3]WAU!A:C,3,0)</f>
        <v>153</v>
      </c>
      <c r="F168" s="9">
        <f>VLOOKUP(D168,[3]MAU!A:C,3,0)</f>
        <v>390</v>
      </c>
      <c r="G168" s="10">
        <f t="shared" si="10"/>
        <v>0.16993464052287582</v>
      </c>
      <c r="H168" s="11">
        <f t="shared" si="11"/>
        <v>6.6666666666666666E-2</v>
      </c>
    </row>
    <row r="169" spans="1:8" x14ac:dyDescent="0.3">
      <c r="A169" s="2">
        <v>44911</v>
      </c>
      <c r="B169" s="8">
        <v>27</v>
      </c>
      <c r="C169" s="9">
        <f t="shared" si="8"/>
        <v>50</v>
      </c>
      <c r="D169" s="9">
        <f t="shared" si="9"/>
        <v>12</v>
      </c>
      <c r="E169" s="9">
        <f>VLOOKUP(C169,[3]WAU!A:C,3,0)</f>
        <v>153</v>
      </c>
      <c r="F169" s="9">
        <f>VLOOKUP(D169,[3]MAU!A:C,3,0)</f>
        <v>390</v>
      </c>
      <c r="G169" s="10">
        <f t="shared" si="10"/>
        <v>0.17647058823529413</v>
      </c>
      <c r="H169" s="11">
        <f t="shared" si="11"/>
        <v>6.9230769230769235E-2</v>
      </c>
    </row>
    <row r="170" spans="1:8" x14ac:dyDescent="0.3">
      <c r="A170" s="2">
        <v>44912</v>
      </c>
      <c r="B170" s="8">
        <v>28</v>
      </c>
      <c r="C170" s="9">
        <f t="shared" si="8"/>
        <v>50</v>
      </c>
      <c r="D170" s="9">
        <f t="shared" si="9"/>
        <v>12</v>
      </c>
      <c r="E170" s="9">
        <f>VLOOKUP(C170,[3]WAU!A:C,3,0)</f>
        <v>153</v>
      </c>
      <c r="F170" s="9">
        <f>VLOOKUP(D170,[3]MAU!A:C,3,0)</f>
        <v>390</v>
      </c>
      <c r="G170" s="10">
        <f t="shared" si="10"/>
        <v>0.18300653594771241</v>
      </c>
      <c r="H170" s="11">
        <f t="shared" si="11"/>
        <v>7.179487179487179E-2</v>
      </c>
    </row>
    <row r="171" spans="1:8" x14ac:dyDescent="0.3">
      <c r="A171" s="2">
        <v>44913</v>
      </c>
      <c r="B171" s="8">
        <v>20</v>
      </c>
      <c r="C171" s="9">
        <f t="shared" si="8"/>
        <v>50</v>
      </c>
      <c r="D171" s="9">
        <f t="shared" si="9"/>
        <v>12</v>
      </c>
      <c r="E171" s="9">
        <f>VLOOKUP(C171,[3]WAU!A:C,3,0)</f>
        <v>153</v>
      </c>
      <c r="F171" s="9">
        <f>VLOOKUP(D171,[3]MAU!A:C,3,0)</f>
        <v>390</v>
      </c>
      <c r="G171" s="10">
        <f t="shared" si="10"/>
        <v>0.13071895424836602</v>
      </c>
      <c r="H171" s="11">
        <f t="shared" si="11"/>
        <v>5.128205128205128E-2</v>
      </c>
    </row>
    <row r="172" spans="1:8" x14ac:dyDescent="0.3">
      <c r="A172" s="2">
        <v>44914</v>
      </c>
      <c r="B172" s="8">
        <v>32</v>
      </c>
      <c r="C172" s="9">
        <f t="shared" si="8"/>
        <v>51</v>
      </c>
      <c r="D172" s="9">
        <f t="shared" si="9"/>
        <v>12</v>
      </c>
      <c r="E172" s="9">
        <f>VLOOKUP(C172,[3]WAU!A:C,3,0)</f>
        <v>145</v>
      </c>
      <c r="F172" s="9">
        <f>VLOOKUP(D172,[3]MAU!A:C,3,0)</f>
        <v>390</v>
      </c>
      <c r="G172" s="10">
        <f t="shared" si="10"/>
        <v>0.22068965517241379</v>
      </c>
      <c r="H172" s="11">
        <f t="shared" si="11"/>
        <v>8.2051282051282051E-2</v>
      </c>
    </row>
    <row r="173" spans="1:8" x14ac:dyDescent="0.3">
      <c r="A173" s="2">
        <v>44915</v>
      </c>
      <c r="B173" s="8">
        <v>28</v>
      </c>
      <c r="C173" s="9">
        <f t="shared" si="8"/>
        <v>51</v>
      </c>
      <c r="D173" s="9">
        <f t="shared" si="9"/>
        <v>12</v>
      </c>
      <c r="E173" s="9">
        <f>VLOOKUP(C173,[3]WAU!A:C,3,0)</f>
        <v>145</v>
      </c>
      <c r="F173" s="9">
        <f>VLOOKUP(D173,[3]MAU!A:C,3,0)</f>
        <v>390</v>
      </c>
      <c r="G173" s="10">
        <f t="shared" si="10"/>
        <v>0.19310344827586207</v>
      </c>
      <c r="H173" s="11">
        <f t="shared" si="11"/>
        <v>7.179487179487179E-2</v>
      </c>
    </row>
    <row r="174" spans="1:8" x14ac:dyDescent="0.3">
      <c r="A174" s="2">
        <v>44916</v>
      </c>
      <c r="B174" s="8">
        <v>28</v>
      </c>
      <c r="C174" s="9">
        <f t="shared" si="8"/>
        <v>51</v>
      </c>
      <c r="D174" s="9">
        <f t="shared" si="9"/>
        <v>12</v>
      </c>
      <c r="E174" s="9">
        <f>VLOOKUP(C174,[3]WAU!A:C,3,0)</f>
        <v>145</v>
      </c>
      <c r="F174" s="9">
        <f>VLOOKUP(D174,[3]MAU!A:C,3,0)</f>
        <v>390</v>
      </c>
      <c r="G174" s="10">
        <f t="shared" si="10"/>
        <v>0.19310344827586207</v>
      </c>
      <c r="H174" s="11">
        <f t="shared" si="11"/>
        <v>7.179487179487179E-2</v>
      </c>
    </row>
    <row r="175" spans="1:8" x14ac:dyDescent="0.3">
      <c r="A175" s="2">
        <v>44917</v>
      </c>
      <c r="B175" s="8">
        <v>29</v>
      </c>
      <c r="C175" s="9">
        <f t="shared" si="8"/>
        <v>51</v>
      </c>
      <c r="D175" s="9">
        <f t="shared" si="9"/>
        <v>12</v>
      </c>
      <c r="E175" s="9">
        <f>VLOOKUP(C175,[3]WAU!A:C,3,0)</f>
        <v>145</v>
      </c>
      <c r="F175" s="9">
        <f>VLOOKUP(D175,[3]MAU!A:C,3,0)</f>
        <v>390</v>
      </c>
      <c r="G175" s="10">
        <f t="shared" si="10"/>
        <v>0.2</v>
      </c>
      <c r="H175" s="11">
        <f t="shared" si="11"/>
        <v>7.4358974358974358E-2</v>
      </c>
    </row>
    <row r="176" spans="1:8" x14ac:dyDescent="0.3">
      <c r="A176" s="2">
        <v>44918</v>
      </c>
      <c r="B176" s="8">
        <v>36</v>
      </c>
      <c r="C176" s="9">
        <f t="shared" si="8"/>
        <v>51</v>
      </c>
      <c r="D176" s="9">
        <f t="shared" si="9"/>
        <v>12</v>
      </c>
      <c r="E176" s="9">
        <f>VLOOKUP(C176,[3]WAU!A:C,3,0)</f>
        <v>145</v>
      </c>
      <c r="F176" s="9">
        <f>VLOOKUP(D176,[3]MAU!A:C,3,0)</f>
        <v>390</v>
      </c>
      <c r="G176" s="10">
        <f t="shared" si="10"/>
        <v>0.24827586206896551</v>
      </c>
      <c r="H176" s="11">
        <f t="shared" si="11"/>
        <v>9.2307692307692313E-2</v>
      </c>
    </row>
    <row r="177" spans="1:8" x14ac:dyDescent="0.3">
      <c r="A177" s="2">
        <v>44919</v>
      </c>
      <c r="B177" s="8">
        <v>24</v>
      </c>
      <c r="C177" s="9">
        <f t="shared" si="8"/>
        <v>51</v>
      </c>
      <c r="D177" s="9">
        <f t="shared" si="9"/>
        <v>12</v>
      </c>
      <c r="E177" s="9">
        <f>VLOOKUP(C177,[3]WAU!A:C,3,0)</f>
        <v>145</v>
      </c>
      <c r="F177" s="9">
        <f>VLOOKUP(D177,[3]MAU!A:C,3,0)</f>
        <v>390</v>
      </c>
      <c r="G177" s="10">
        <f t="shared" si="10"/>
        <v>0.16551724137931034</v>
      </c>
      <c r="H177" s="11">
        <f t="shared" si="11"/>
        <v>6.1538461538461542E-2</v>
      </c>
    </row>
    <row r="178" spans="1:8" x14ac:dyDescent="0.3">
      <c r="A178" s="2">
        <v>44920</v>
      </c>
      <c r="B178" s="8">
        <v>33</v>
      </c>
      <c r="C178" s="9">
        <f t="shared" si="8"/>
        <v>51</v>
      </c>
      <c r="D178" s="9">
        <f t="shared" si="9"/>
        <v>12</v>
      </c>
      <c r="E178" s="9">
        <f>VLOOKUP(C178,[3]WAU!A:C,3,0)</f>
        <v>145</v>
      </c>
      <c r="F178" s="9">
        <f>VLOOKUP(D178,[3]MAU!A:C,3,0)</f>
        <v>390</v>
      </c>
      <c r="G178" s="10">
        <f t="shared" si="10"/>
        <v>0.22758620689655173</v>
      </c>
      <c r="H178" s="11">
        <f t="shared" si="11"/>
        <v>8.461538461538462E-2</v>
      </c>
    </row>
    <row r="179" spans="1:8" x14ac:dyDescent="0.3">
      <c r="A179" s="2">
        <v>44921</v>
      </c>
      <c r="B179" s="8">
        <v>26</v>
      </c>
      <c r="C179" s="9">
        <f t="shared" si="8"/>
        <v>52</v>
      </c>
      <c r="D179" s="9">
        <f t="shared" si="9"/>
        <v>12</v>
      </c>
      <c r="E179" s="9">
        <f>VLOOKUP(C179,[3]WAU!A:C,3,0)</f>
        <v>141</v>
      </c>
      <c r="F179" s="9">
        <f>VLOOKUP(D179,[3]MAU!A:C,3,0)</f>
        <v>390</v>
      </c>
      <c r="G179" s="10">
        <f t="shared" si="10"/>
        <v>0.18439716312056736</v>
      </c>
      <c r="H179" s="11">
        <f t="shared" si="11"/>
        <v>6.6666666666666666E-2</v>
      </c>
    </row>
    <row r="180" spans="1:8" x14ac:dyDescent="0.3">
      <c r="A180" s="2">
        <v>44922</v>
      </c>
      <c r="B180" s="8">
        <v>24</v>
      </c>
      <c r="C180" s="9">
        <f t="shared" si="8"/>
        <v>52</v>
      </c>
      <c r="D180" s="9">
        <f t="shared" si="9"/>
        <v>12</v>
      </c>
      <c r="E180" s="9">
        <f>VLOOKUP(C180,[3]WAU!A:C,3,0)</f>
        <v>141</v>
      </c>
      <c r="F180" s="9">
        <f>VLOOKUP(D180,[3]MAU!A:C,3,0)</f>
        <v>390</v>
      </c>
      <c r="G180" s="10">
        <f t="shared" si="10"/>
        <v>0.1702127659574468</v>
      </c>
      <c r="H180" s="11">
        <f t="shared" si="11"/>
        <v>6.1538461538461542E-2</v>
      </c>
    </row>
    <row r="181" spans="1:8" x14ac:dyDescent="0.3">
      <c r="A181" s="2">
        <v>44923</v>
      </c>
      <c r="B181" s="8">
        <v>32</v>
      </c>
      <c r="C181" s="9">
        <f t="shared" si="8"/>
        <v>52</v>
      </c>
      <c r="D181" s="9">
        <f t="shared" si="9"/>
        <v>12</v>
      </c>
      <c r="E181" s="9">
        <f>VLOOKUP(C181,[3]WAU!A:C,3,0)</f>
        <v>141</v>
      </c>
      <c r="F181" s="9">
        <f>VLOOKUP(D181,[3]MAU!A:C,3,0)</f>
        <v>390</v>
      </c>
      <c r="G181" s="10">
        <f t="shared" si="10"/>
        <v>0.22695035460992907</v>
      </c>
      <c r="H181" s="11">
        <f t="shared" si="11"/>
        <v>8.2051282051282051E-2</v>
      </c>
    </row>
    <row r="182" spans="1:8" x14ac:dyDescent="0.3">
      <c r="A182" s="2">
        <v>44924</v>
      </c>
      <c r="B182" s="8">
        <v>29</v>
      </c>
      <c r="C182" s="9">
        <f t="shared" si="8"/>
        <v>52</v>
      </c>
      <c r="D182" s="9">
        <f t="shared" si="9"/>
        <v>12</v>
      </c>
      <c r="E182" s="9">
        <f>VLOOKUP(C182,[3]WAU!A:C,3,0)</f>
        <v>141</v>
      </c>
      <c r="F182" s="9">
        <f>VLOOKUP(D182,[3]MAU!A:C,3,0)</f>
        <v>390</v>
      </c>
      <c r="G182" s="10">
        <f t="shared" si="10"/>
        <v>0.20567375886524822</v>
      </c>
      <c r="H182" s="11">
        <f t="shared" si="11"/>
        <v>7.4358974358974358E-2</v>
      </c>
    </row>
    <row r="183" spans="1:8" x14ac:dyDescent="0.3">
      <c r="A183" s="2">
        <v>44925</v>
      </c>
      <c r="B183" s="8">
        <v>22</v>
      </c>
      <c r="C183" s="9">
        <f t="shared" si="8"/>
        <v>52</v>
      </c>
      <c r="D183" s="9">
        <f t="shared" si="9"/>
        <v>12</v>
      </c>
      <c r="E183" s="9">
        <f>VLOOKUP(C183,[3]WAU!A:C,3,0)</f>
        <v>141</v>
      </c>
      <c r="F183" s="9">
        <f>VLOOKUP(D183,[3]MAU!A:C,3,0)</f>
        <v>390</v>
      </c>
      <c r="G183" s="10">
        <f t="shared" si="10"/>
        <v>0.15602836879432624</v>
      </c>
      <c r="H183" s="11">
        <f t="shared" si="11"/>
        <v>5.6410256410256411E-2</v>
      </c>
    </row>
    <row r="184" spans="1:8" x14ac:dyDescent="0.3">
      <c r="A184" s="2">
        <v>44926</v>
      </c>
      <c r="B184" s="8">
        <v>37</v>
      </c>
      <c r="C184" s="9">
        <f t="shared" si="8"/>
        <v>52</v>
      </c>
      <c r="D184" s="9">
        <f t="shared" si="9"/>
        <v>12</v>
      </c>
      <c r="E184" s="9">
        <f>VLOOKUP(C184,[3]WAU!A:C,3,0)</f>
        <v>141</v>
      </c>
      <c r="F184" s="9">
        <f>VLOOKUP(D184,[3]MAU!A:C,3,0)</f>
        <v>390</v>
      </c>
      <c r="G184" s="10">
        <f t="shared" si="10"/>
        <v>0.26241134751773049</v>
      </c>
      <c r="H184" s="11">
        <f t="shared" si="11"/>
        <v>9.4871794871794868E-2</v>
      </c>
    </row>
    <row r="185" spans="1:8" x14ac:dyDescent="0.3">
      <c r="A185" s="2">
        <v>44927</v>
      </c>
      <c r="B185" s="8">
        <v>24</v>
      </c>
      <c r="C185" s="9">
        <f t="shared" si="8"/>
        <v>52</v>
      </c>
      <c r="D185" s="9">
        <f t="shared" si="9"/>
        <v>1</v>
      </c>
      <c r="E185" s="9">
        <f>VLOOKUP(C185,[3]WAU!A:C,3,0)</f>
        <v>141</v>
      </c>
      <c r="F185" s="9">
        <f>VLOOKUP(D185,[3]MAU!A:C,3,0)</f>
        <v>536</v>
      </c>
      <c r="G185" s="10">
        <f t="shared" si="10"/>
        <v>0.1702127659574468</v>
      </c>
      <c r="H185" s="11">
        <f t="shared" si="11"/>
        <v>4.4776119402985072E-2</v>
      </c>
    </row>
    <row r="186" spans="1:8" x14ac:dyDescent="0.3">
      <c r="A186" s="2">
        <v>44928</v>
      </c>
      <c r="B186" s="8">
        <v>35</v>
      </c>
      <c r="C186" s="9">
        <f t="shared" si="8"/>
        <v>1</v>
      </c>
      <c r="D186" s="9">
        <f t="shared" si="9"/>
        <v>1</v>
      </c>
      <c r="E186" s="9">
        <f>VLOOKUP(C186,[3]WAU!A:C,3,0)</f>
        <v>190</v>
      </c>
      <c r="F186" s="9">
        <f>VLOOKUP(D186,[3]MAU!A:C,3,0)</f>
        <v>536</v>
      </c>
      <c r="G186" s="10">
        <f t="shared" si="10"/>
        <v>0.18421052631578946</v>
      </c>
      <c r="H186" s="11">
        <f t="shared" si="11"/>
        <v>6.5298507462686561E-2</v>
      </c>
    </row>
    <row r="187" spans="1:8" x14ac:dyDescent="0.3">
      <c r="A187" s="2">
        <v>44929</v>
      </c>
      <c r="B187" s="8">
        <v>40</v>
      </c>
      <c r="C187" s="9">
        <f t="shared" si="8"/>
        <v>1</v>
      </c>
      <c r="D187" s="9">
        <f t="shared" si="9"/>
        <v>1</v>
      </c>
      <c r="E187" s="9">
        <f>VLOOKUP(C187,[3]WAU!A:C,3,0)</f>
        <v>190</v>
      </c>
      <c r="F187" s="9">
        <f>VLOOKUP(D187,[3]MAU!A:C,3,0)</f>
        <v>536</v>
      </c>
      <c r="G187" s="10">
        <f t="shared" si="10"/>
        <v>0.21052631578947367</v>
      </c>
      <c r="H187" s="11">
        <f t="shared" si="11"/>
        <v>7.4626865671641784E-2</v>
      </c>
    </row>
    <row r="188" spans="1:8" x14ac:dyDescent="0.3">
      <c r="A188" s="2">
        <v>44930</v>
      </c>
      <c r="B188" s="8">
        <v>46</v>
      </c>
      <c r="C188" s="9">
        <f t="shared" si="8"/>
        <v>1</v>
      </c>
      <c r="D188" s="9">
        <f t="shared" si="9"/>
        <v>1</v>
      </c>
      <c r="E188" s="9">
        <f>VLOOKUP(C188,[3]WAU!A:C,3,0)</f>
        <v>190</v>
      </c>
      <c r="F188" s="9">
        <f>VLOOKUP(D188,[3]MAU!A:C,3,0)</f>
        <v>536</v>
      </c>
      <c r="G188" s="10">
        <f t="shared" si="10"/>
        <v>0.24210526315789474</v>
      </c>
      <c r="H188" s="11">
        <f t="shared" si="11"/>
        <v>8.5820895522388058E-2</v>
      </c>
    </row>
    <row r="189" spans="1:8" x14ac:dyDescent="0.3">
      <c r="A189" s="2">
        <v>44931</v>
      </c>
      <c r="B189" s="8">
        <v>36</v>
      </c>
      <c r="C189" s="9">
        <f t="shared" si="8"/>
        <v>1</v>
      </c>
      <c r="D189" s="9">
        <f t="shared" si="9"/>
        <v>1</v>
      </c>
      <c r="E189" s="9">
        <f>VLOOKUP(C189,[3]WAU!A:C,3,0)</f>
        <v>190</v>
      </c>
      <c r="F189" s="9">
        <f>VLOOKUP(D189,[3]MAU!A:C,3,0)</f>
        <v>536</v>
      </c>
      <c r="G189" s="10">
        <f t="shared" si="10"/>
        <v>0.18947368421052632</v>
      </c>
      <c r="H189" s="11">
        <f t="shared" si="11"/>
        <v>6.7164179104477612E-2</v>
      </c>
    </row>
    <row r="190" spans="1:8" x14ac:dyDescent="0.3">
      <c r="A190" s="2">
        <v>44932</v>
      </c>
      <c r="B190" s="8">
        <v>46</v>
      </c>
      <c r="C190" s="9">
        <f t="shared" si="8"/>
        <v>1</v>
      </c>
      <c r="D190" s="9">
        <f t="shared" si="9"/>
        <v>1</v>
      </c>
      <c r="E190" s="9">
        <f>VLOOKUP(C190,[3]WAU!A:C,3,0)</f>
        <v>190</v>
      </c>
      <c r="F190" s="9">
        <f>VLOOKUP(D190,[3]MAU!A:C,3,0)</f>
        <v>536</v>
      </c>
      <c r="G190" s="10">
        <f t="shared" si="10"/>
        <v>0.24210526315789474</v>
      </c>
      <c r="H190" s="11">
        <f t="shared" si="11"/>
        <v>8.5820895522388058E-2</v>
      </c>
    </row>
    <row r="191" spans="1:8" x14ac:dyDescent="0.3">
      <c r="A191" s="2">
        <v>44933</v>
      </c>
      <c r="B191" s="8">
        <v>35</v>
      </c>
      <c r="C191" s="9">
        <f t="shared" si="8"/>
        <v>1</v>
      </c>
      <c r="D191" s="9">
        <f t="shared" si="9"/>
        <v>1</v>
      </c>
      <c r="E191" s="9">
        <f>VLOOKUP(C191,[3]WAU!A:C,3,0)</f>
        <v>190</v>
      </c>
      <c r="F191" s="9">
        <f>VLOOKUP(D191,[3]MAU!A:C,3,0)</f>
        <v>536</v>
      </c>
      <c r="G191" s="10">
        <f t="shared" si="10"/>
        <v>0.18421052631578946</v>
      </c>
      <c r="H191" s="11">
        <f t="shared" si="11"/>
        <v>6.5298507462686561E-2</v>
      </c>
    </row>
    <row r="192" spans="1:8" x14ac:dyDescent="0.3">
      <c r="A192" s="2">
        <v>44934</v>
      </c>
      <c r="B192" s="8">
        <v>53</v>
      </c>
      <c r="C192" s="9">
        <f t="shared" si="8"/>
        <v>1</v>
      </c>
      <c r="D192" s="9">
        <f t="shared" si="9"/>
        <v>1</v>
      </c>
      <c r="E192" s="9">
        <f>VLOOKUP(C192,[3]WAU!A:C,3,0)</f>
        <v>190</v>
      </c>
      <c r="F192" s="9">
        <f>VLOOKUP(D192,[3]MAU!A:C,3,0)</f>
        <v>536</v>
      </c>
      <c r="G192" s="10">
        <f t="shared" si="10"/>
        <v>0.27894736842105261</v>
      </c>
      <c r="H192" s="11">
        <f t="shared" si="11"/>
        <v>9.8880597014925367E-2</v>
      </c>
    </row>
    <row r="193" spans="1:8" x14ac:dyDescent="0.3">
      <c r="A193" s="2">
        <v>44935</v>
      </c>
      <c r="B193" s="8">
        <v>53</v>
      </c>
      <c r="C193" s="9">
        <f t="shared" si="8"/>
        <v>2</v>
      </c>
      <c r="D193" s="9">
        <f t="shared" si="9"/>
        <v>1</v>
      </c>
      <c r="E193" s="9">
        <f>VLOOKUP(C193,[3]WAU!A:C,3,0)</f>
        <v>233</v>
      </c>
      <c r="F193" s="9">
        <f>VLOOKUP(D193,[3]MAU!A:C,3,0)</f>
        <v>536</v>
      </c>
      <c r="G193" s="10">
        <f t="shared" si="10"/>
        <v>0.22746781115879827</v>
      </c>
      <c r="H193" s="11">
        <f t="shared" si="11"/>
        <v>9.8880597014925367E-2</v>
      </c>
    </row>
    <row r="194" spans="1:8" x14ac:dyDescent="0.3">
      <c r="A194" s="2">
        <v>44936</v>
      </c>
      <c r="B194" s="8">
        <v>52</v>
      </c>
      <c r="C194" s="9">
        <f t="shared" si="8"/>
        <v>2</v>
      </c>
      <c r="D194" s="9">
        <f t="shared" si="9"/>
        <v>1</v>
      </c>
      <c r="E194" s="9">
        <f>VLOOKUP(C194,[3]WAU!A:C,3,0)</f>
        <v>233</v>
      </c>
      <c r="F194" s="9">
        <f>VLOOKUP(D194,[3]MAU!A:C,3,0)</f>
        <v>536</v>
      </c>
      <c r="G194" s="10">
        <f t="shared" si="10"/>
        <v>0.22317596566523606</v>
      </c>
      <c r="H194" s="11">
        <f t="shared" si="11"/>
        <v>9.7014925373134331E-2</v>
      </c>
    </row>
    <row r="195" spans="1:8" x14ac:dyDescent="0.3">
      <c r="A195" s="2">
        <v>44937</v>
      </c>
      <c r="B195" s="8">
        <v>65</v>
      </c>
      <c r="C195" s="9">
        <f t="shared" ref="C195:C258" si="12">_xlfn.ISOWEEKNUM(A195)</f>
        <v>2</v>
      </c>
      <c r="D195" s="9">
        <f t="shared" ref="D195:D258" si="13">MONTH(A195)</f>
        <v>1</v>
      </c>
      <c r="E195" s="9">
        <f>VLOOKUP(C195,[3]WAU!A:C,3,0)</f>
        <v>233</v>
      </c>
      <c r="F195" s="9">
        <f>VLOOKUP(D195,[3]MAU!A:C,3,0)</f>
        <v>536</v>
      </c>
      <c r="G195" s="10">
        <f t="shared" ref="G195:G258" si="14">B195/E195</f>
        <v>0.27896995708154504</v>
      </c>
      <c r="H195" s="11">
        <f t="shared" ref="H195:H258" si="15">B195/F195</f>
        <v>0.12126865671641791</v>
      </c>
    </row>
    <row r="196" spans="1:8" x14ac:dyDescent="0.3">
      <c r="A196" s="2">
        <v>44938</v>
      </c>
      <c r="B196" s="8">
        <v>52</v>
      </c>
      <c r="C196" s="9">
        <f t="shared" si="12"/>
        <v>2</v>
      </c>
      <c r="D196" s="9">
        <f t="shared" si="13"/>
        <v>1</v>
      </c>
      <c r="E196" s="9">
        <f>VLOOKUP(C196,[3]WAU!A:C,3,0)</f>
        <v>233</v>
      </c>
      <c r="F196" s="9">
        <f>VLOOKUP(D196,[3]MAU!A:C,3,0)</f>
        <v>536</v>
      </c>
      <c r="G196" s="10">
        <f t="shared" si="14"/>
        <v>0.22317596566523606</v>
      </c>
      <c r="H196" s="11">
        <f t="shared" si="15"/>
        <v>9.7014925373134331E-2</v>
      </c>
    </row>
    <row r="197" spans="1:8" x14ac:dyDescent="0.3">
      <c r="A197" s="2">
        <v>44939</v>
      </c>
      <c r="B197" s="8">
        <v>62</v>
      </c>
      <c r="C197" s="9">
        <f t="shared" si="12"/>
        <v>2</v>
      </c>
      <c r="D197" s="9">
        <f t="shared" si="13"/>
        <v>1</v>
      </c>
      <c r="E197" s="9">
        <f>VLOOKUP(C197,[3]WAU!A:C,3,0)</f>
        <v>233</v>
      </c>
      <c r="F197" s="9">
        <f>VLOOKUP(D197,[3]MAU!A:C,3,0)</f>
        <v>536</v>
      </c>
      <c r="G197" s="10">
        <f t="shared" si="14"/>
        <v>0.26609442060085836</v>
      </c>
      <c r="H197" s="11">
        <f t="shared" si="15"/>
        <v>0.11567164179104478</v>
      </c>
    </row>
    <row r="198" spans="1:8" x14ac:dyDescent="0.3">
      <c r="A198" s="2">
        <v>44940</v>
      </c>
      <c r="B198" s="8">
        <v>77</v>
      </c>
      <c r="C198" s="9">
        <f t="shared" si="12"/>
        <v>2</v>
      </c>
      <c r="D198" s="9">
        <f t="shared" si="13"/>
        <v>1</v>
      </c>
      <c r="E198" s="9">
        <f>VLOOKUP(C198,[3]WAU!A:C,3,0)</f>
        <v>233</v>
      </c>
      <c r="F198" s="9">
        <f>VLOOKUP(D198,[3]MAU!A:C,3,0)</f>
        <v>536</v>
      </c>
      <c r="G198" s="10">
        <f t="shared" si="14"/>
        <v>0.33047210300429186</v>
      </c>
      <c r="H198" s="11">
        <f t="shared" si="15"/>
        <v>0.14365671641791045</v>
      </c>
    </row>
    <row r="199" spans="1:8" x14ac:dyDescent="0.3">
      <c r="A199" s="2">
        <v>44941</v>
      </c>
      <c r="B199" s="8">
        <v>61</v>
      </c>
      <c r="C199" s="9">
        <f t="shared" si="12"/>
        <v>2</v>
      </c>
      <c r="D199" s="9">
        <f t="shared" si="13"/>
        <v>1</v>
      </c>
      <c r="E199" s="9">
        <f>VLOOKUP(C199,[3]WAU!A:C,3,0)</f>
        <v>233</v>
      </c>
      <c r="F199" s="9">
        <f>VLOOKUP(D199,[3]MAU!A:C,3,0)</f>
        <v>536</v>
      </c>
      <c r="G199" s="10">
        <f t="shared" si="14"/>
        <v>0.26180257510729615</v>
      </c>
      <c r="H199" s="11">
        <f t="shared" si="15"/>
        <v>0.11380597014925373</v>
      </c>
    </row>
    <row r="200" spans="1:8" x14ac:dyDescent="0.3">
      <c r="A200" s="2">
        <v>44942</v>
      </c>
      <c r="B200" s="8">
        <v>70</v>
      </c>
      <c r="C200" s="9">
        <f t="shared" si="12"/>
        <v>3</v>
      </c>
      <c r="D200" s="9">
        <f t="shared" si="13"/>
        <v>1</v>
      </c>
      <c r="E200" s="9">
        <f>VLOOKUP(C200,[3]WAU!A:C,3,0)</f>
        <v>272</v>
      </c>
      <c r="F200" s="9">
        <f>VLOOKUP(D200,[3]MAU!A:C,3,0)</f>
        <v>536</v>
      </c>
      <c r="G200" s="10">
        <f t="shared" si="14"/>
        <v>0.25735294117647056</v>
      </c>
      <c r="H200" s="11">
        <f t="shared" si="15"/>
        <v>0.13059701492537312</v>
      </c>
    </row>
    <row r="201" spans="1:8" x14ac:dyDescent="0.3">
      <c r="A201" s="2">
        <v>44943</v>
      </c>
      <c r="B201" s="8">
        <v>66</v>
      </c>
      <c r="C201" s="9">
        <f t="shared" si="12"/>
        <v>3</v>
      </c>
      <c r="D201" s="9">
        <f t="shared" si="13"/>
        <v>1</v>
      </c>
      <c r="E201" s="9">
        <f>VLOOKUP(C201,[3]WAU!A:C,3,0)</f>
        <v>272</v>
      </c>
      <c r="F201" s="9">
        <f>VLOOKUP(D201,[3]MAU!A:C,3,0)</f>
        <v>536</v>
      </c>
      <c r="G201" s="10">
        <f t="shared" si="14"/>
        <v>0.24264705882352941</v>
      </c>
      <c r="H201" s="11">
        <f t="shared" si="15"/>
        <v>0.12313432835820895</v>
      </c>
    </row>
    <row r="202" spans="1:8" x14ac:dyDescent="0.3">
      <c r="A202" s="2">
        <v>44944</v>
      </c>
      <c r="B202" s="8">
        <v>73</v>
      </c>
      <c r="C202" s="9">
        <f t="shared" si="12"/>
        <v>3</v>
      </c>
      <c r="D202" s="9">
        <f t="shared" si="13"/>
        <v>1</v>
      </c>
      <c r="E202" s="9">
        <f>VLOOKUP(C202,[3]WAU!A:C,3,0)</f>
        <v>272</v>
      </c>
      <c r="F202" s="9">
        <f>VLOOKUP(D202,[3]MAU!A:C,3,0)</f>
        <v>536</v>
      </c>
      <c r="G202" s="10">
        <f t="shared" si="14"/>
        <v>0.26838235294117646</v>
      </c>
      <c r="H202" s="11">
        <f t="shared" si="15"/>
        <v>0.13619402985074627</v>
      </c>
    </row>
    <row r="203" spans="1:8" x14ac:dyDescent="0.3">
      <c r="A203" s="2">
        <v>44945</v>
      </c>
      <c r="B203" s="8">
        <v>73</v>
      </c>
      <c r="C203" s="9">
        <f t="shared" si="12"/>
        <v>3</v>
      </c>
      <c r="D203" s="9">
        <f t="shared" si="13"/>
        <v>1</v>
      </c>
      <c r="E203" s="9">
        <f>VLOOKUP(C203,[3]WAU!A:C,3,0)</f>
        <v>272</v>
      </c>
      <c r="F203" s="9">
        <f>VLOOKUP(D203,[3]MAU!A:C,3,0)</f>
        <v>536</v>
      </c>
      <c r="G203" s="10">
        <f t="shared" si="14"/>
        <v>0.26838235294117646</v>
      </c>
      <c r="H203" s="11">
        <f t="shared" si="15"/>
        <v>0.13619402985074627</v>
      </c>
    </row>
    <row r="204" spans="1:8" x14ac:dyDescent="0.3">
      <c r="A204" s="2">
        <v>44946</v>
      </c>
      <c r="B204" s="8">
        <v>80</v>
      </c>
      <c r="C204" s="9">
        <f t="shared" si="12"/>
        <v>3</v>
      </c>
      <c r="D204" s="9">
        <f t="shared" si="13"/>
        <v>1</v>
      </c>
      <c r="E204" s="9">
        <f>VLOOKUP(C204,[3]WAU!A:C,3,0)</f>
        <v>272</v>
      </c>
      <c r="F204" s="9">
        <f>VLOOKUP(D204,[3]MAU!A:C,3,0)</f>
        <v>536</v>
      </c>
      <c r="G204" s="10">
        <f t="shared" si="14"/>
        <v>0.29411764705882354</v>
      </c>
      <c r="H204" s="11">
        <f t="shared" si="15"/>
        <v>0.14925373134328357</v>
      </c>
    </row>
    <row r="205" spans="1:8" x14ac:dyDescent="0.3">
      <c r="A205" s="2">
        <v>44947</v>
      </c>
      <c r="B205" s="8">
        <v>75</v>
      </c>
      <c r="C205" s="9">
        <f t="shared" si="12"/>
        <v>3</v>
      </c>
      <c r="D205" s="9">
        <f t="shared" si="13"/>
        <v>1</v>
      </c>
      <c r="E205" s="9">
        <f>VLOOKUP(C205,[3]WAU!A:C,3,0)</f>
        <v>272</v>
      </c>
      <c r="F205" s="9">
        <f>VLOOKUP(D205,[3]MAU!A:C,3,0)</f>
        <v>536</v>
      </c>
      <c r="G205" s="10">
        <f t="shared" si="14"/>
        <v>0.27573529411764708</v>
      </c>
      <c r="H205" s="11">
        <f t="shared" si="15"/>
        <v>0.13992537313432835</v>
      </c>
    </row>
    <row r="206" spans="1:8" x14ac:dyDescent="0.3">
      <c r="A206" s="2">
        <v>44948</v>
      </c>
      <c r="B206" s="8">
        <v>90</v>
      </c>
      <c r="C206" s="9">
        <f t="shared" si="12"/>
        <v>3</v>
      </c>
      <c r="D206" s="9">
        <f t="shared" si="13"/>
        <v>1</v>
      </c>
      <c r="E206" s="9">
        <f>VLOOKUP(C206,[3]WAU!A:C,3,0)</f>
        <v>272</v>
      </c>
      <c r="F206" s="9">
        <f>VLOOKUP(D206,[3]MAU!A:C,3,0)</f>
        <v>536</v>
      </c>
      <c r="G206" s="10">
        <f t="shared" si="14"/>
        <v>0.33088235294117646</v>
      </c>
      <c r="H206" s="11">
        <f t="shared" si="15"/>
        <v>0.16791044776119404</v>
      </c>
    </row>
    <row r="207" spans="1:8" x14ac:dyDescent="0.3">
      <c r="A207" s="2">
        <v>44949</v>
      </c>
      <c r="B207" s="8">
        <v>78</v>
      </c>
      <c r="C207" s="9">
        <f t="shared" si="12"/>
        <v>4</v>
      </c>
      <c r="D207" s="9">
        <f t="shared" si="13"/>
        <v>1</v>
      </c>
      <c r="E207" s="9">
        <f>VLOOKUP(C207,[3]WAU!A:C,3,0)</f>
        <v>295</v>
      </c>
      <c r="F207" s="9">
        <f>VLOOKUP(D207,[3]MAU!A:C,3,0)</f>
        <v>536</v>
      </c>
      <c r="G207" s="10">
        <f t="shared" si="14"/>
        <v>0.26440677966101694</v>
      </c>
      <c r="H207" s="11">
        <f t="shared" si="15"/>
        <v>0.1455223880597015</v>
      </c>
    </row>
    <row r="208" spans="1:8" x14ac:dyDescent="0.3">
      <c r="A208" s="2">
        <v>44950</v>
      </c>
      <c r="B208" s="8">
        <v>90</v>
      </c>
      <c r="C208" s="9">
        <f t="shared" si="12"/>
        <v>4</v>
      </c>
      <c r="D208" s="9">
        <f t="shared" si="13"/>
        <v>1</v>
      </c>
      <c r="E208" s="9">
        <f>VLOOKUP(C208,[3]WAU!A:C,3,0)</f>
        <v>295</v>
      </c>
      <c r="F208" s="9">
        <f>VLOOKUP(D208,[3]MAU!A:C,3,0)</f>
        <v>536</v>
      </c>
      <c r="G208" s="10">
        <f t="shared" si="14"/>
        <v>0.30508474576271188</v>
      </c>
      <c r="H208" s="11">
        <f t="shared" si="15"/>
        <v>0.16791044776119404</v>
      </c>
    </row>
    <row r="209" spans="1:8" x14ac:dyDescent="0.3">
      <c r="A209" s="2">
        <v>44951</v>
      </c>
      <c r="B209" s="8">
        <v>88</v>
      </c>
      <c r="C209" s="9">
        <f t="shared" si="12"/>
        <v>4</v>
      </c>
      <c r="D209" s="9">
        <f t="shared" si="13"/>
        <v>1</v>
      </c>
      <c r="E209" s="9">
        <f>VLOOKUP(C209,[3]WAU!A:C,3,0)</f>
        <v>295</v>
      </c>
      <c r="F209" s="9">
        <f>VLOOKUP(D209,[3]MAU!A:C,3,0)</f>
        <v>536</v>
      </c>
      <c r="G209" s="10">
        <f t="shared" si="14"/>
        <v>0.29830508474576273</v>
      </c>
      <c r="H209" s="11">
        <f t="shared" si="15"/>
        <v>0.16417910447761194</v>
      </c>
    </row>
    <row r="210" spans="1:8" x14ac:dyDescent="0.3">
      <c r="A210" s="2">
        <v>44952</v>
      </c>
      <c r="B210" s="8">
        <v>83</v>
      </c>
      <c r="C210" s="9">
        <f t="shared" si="12"/>
        <v>4</v>
      </c>
      <c r="D210" s="9">
        <f t="shared" si="13"/>
        <v>1</v>
      </c>
      <c r="E210" s="9">
        <f>VLOOKUP(C210,[3]WAU!A:C,3,0)</f>
        <v>295</v>
      </c>
      <c r="F210" s="9">
        <f>VLOOKUP(D210,[3]MAU!A:C,3,0)</f>
        <v>536</v>
      </c>
      <c r="G210" s="10">
        <f t="shared" si="14"/>
        <v>0.28135593220338984</v>
      </c>
      <c r="H210" s="11">
        <f t="shared" si="15"/>
        <v>0.15485074626865672</v>
      </c>
    </row>
    <row r="211" spans="1:8" x14ac:dyDescent="0.3">
      <c r="A211" s="2">
        <v>44953</v>
      </c>
      <c r="B211" s="8">
        <v>92</v>
      </c>
      <c r="C211" s="9">
        <f t="shared" si="12"/>
        <v>4</v>
      </c>
      <c r="D211" s="9">
        <f t="shared" si="13"/>
        <v>1</v>
      </c>
      <c r="E211" s="9">
        <f>VLOOKUP(C211,[3]WAU!A:C,3,0)</f>
        <v>295</v>
      </c>
      <c r="F211" s="9">
        <f>VLOOKUP(D211,[3]MAU!A:C,3,0)</f>
        <v>536</v>
      </c>
      <c r="G211" s="10">
        <f t="shared" si="14"/>
        <v>0.31186440677966104</v>
      </c>
      <c r="H211" s="11">
        <f t="shared" si="15"/>
        <v>0.17164179104477612</v>
      </c>
    </row>
    <row r="212" spans="1:8" x14ac:dyDescent="0.3">
      <c r="A212" s="2">
        <v>44954</v>
      </c>
      <c r="B212" s="8">
        <v>99</v>
      </c>
      <c r="C212" s="9">
        <f t="shared" si="12"/>
        <v>4</v>
      </c>
      <c r="D212" s="9">
        <f t="shared" si="13"/>
        <v>1</v>
      </c>
      <c r="E212" s="9">
        <f>VLOOKUP(C212,[3]WAU!A:C,3,0)</f>
        <v>295</v>
      </c>
      <c r="F212" s="9">
        <f>VLOOKUP(D212,[3]MAU!A:C,3,0)</f>
        <v>536</v>
      </c>
      <c r="G212" s="10">
        <f t="shared" si="14"/>
        <v>0.33559322033898303</v>
      </c>
      <c r="H212" s="11">
        <f t="shared" si="15"/>
        <v>0.18470149253731344</v>
      </c>
    </row>
    <row r="213" spans="1:8" x14ac:dyDescent="0.3">
      <c r="A213" s="2">
        <v>44955</v>
      </c>
      <c r="B213" s="8">
        <v>93</v>
      </c>
      <c r="C213" s="9">
        <f t="shared" si="12"/>
        <v>4</v>
      </c>
      <c r="D213" s="9">
        <f t="shared" si="13"/>
        <v>1</v>
      </c>
      <c r="E213" s="9">
        <f>VLOOKUP(C213,[3]WAU!A:C,3,0)</f>
        <v>295</v>
      </c>
      <c r="F213" s="9">
        <f>VLOOKUP(D213,[3]MAU!A:C,3,0)</f>
        <v>536</v>
      </c>
      <c r="G213" s="10">
        <f t="shared" si="14"/>
        <v>0.31525423728813562</v>
      </c>
      <c r="H213" s="11">
        <f t="shared" si="15"/>
        <v>0.17350746268656717</v>
      </c>
    </row>
    <row r="214" spans="1:8" x14ac:dyDescent="0.3">
      <c r="A214" s="2">
        <v>44956</v>
      </c>
      <c r="B214" s="8">
        <v>115</v>
      </c>
      <c r="C214" s="9">
        <f t="shared" si="12"/>
        <v>5</v>
      </c>
      <c r="D214" s="9">
        <f t="shared" si="13"/>
        <v>1</v>
      </c>
      <c r="E214" s="9">
        <f>VLOOKUP(C214,[3]WAU!A:C,3,0)</f>
        <v>346</v>
      </c>
      <c r="F214" s="9">
        <f>VLOOKUP(D214,[3]MAU!A:C,3,0)</f>
        <v>536</v>
      </c>
      <c r="G214" s="10">
        <f t="shared" si="14"/>
        <v>0.33236994219653176</v>
      </c>
      <c r="H214" s="11">
        <f t="shared" si="15"/>
        <v>0.21455223880597016</v>
      </c>
    </row>
    <row r="215" spans="1:8" x14ac:dyDescent="0.3">
      <c r="A215" s="2">
        <v>44957</v>
      </c>
      <c r="B215" s="8">
        <v>108</v>
      </c>
      <c r="C215" s="9">
        <f t="shared" si="12"/>
        <v>5</v>
      </c>
      <c r="D215" s="9">
        <f t="shared" si="13"/>
        <v>1</v>
      </c>
      <c r="E215" s="9">
        <f>VLOOKUP(C215,[3]WAU!A:C,3,0)</f>
        <v>346</v>
      </c>
      <c r="F215" s="9">
        <f>VLOOKUP(D215,[3]MAU!A:C,3,0)</f>
        <v>536</v>
      </c>
      <c r="G215" s="10">
        <f t="shared" si="14"/>
        <v>0.31213872832369943</v>
      </c>
      <c r="H215" s="11">
        <f t="shared" si="15"/>
        <v>0.20149253731343283</v>
      </c>
    </row>
    <row r="216" spans="1:8" x14ac:dyDescent="0.3">
      <c r="A216" s="2">
        <v>44958</v>
      </c>
      <c r="B216" s="8">
        <v>112</v>
      </c>
      <c r="C216" s="9">
        <f t="shared" si="12"/>
        <v>5</v>
      </c>
      <c r="D216" s="9">
        <f t="shared" si="13"/>
        <v>2</v>
      </c>
      <c r="E216" s="9">
        <f>VLOOKUP(C216,[3]WAU!A:C,3,0)</f>
        <v>346</v>
      </c>
      <c r="F216" s="9">
        <f>VLOOKUP(D216,[3]MAU!A:C,3,0)</f>
        <v>696</v>
      </c>
      <c r="G216" s="10">
        <f t="shared" si="14"/>
        <v>0.32369942196531792</v>
      </c>
      <c r="H216" s="11">
        <f t="shared" si="15"/>
        <v>0.16091954022988506</v>
      </c>
    </row>
    <row r="217" spans="1:8" x14ac:dyDescent="0.3">
      <c r="A217" s="2">
        <v>44959</v>
      </c>
      <c r="B217" s="8">
        <v>86</v>
      </c>
      <c r="C217" s="9">
        <f t="shared" si="12"/>
        <v>5</v>
      </c>
      <c r="D217" s="9">
        <f t="shared" si="13"/>
        <v>2</v>
      </c>
      <c r="E217" s="9">
        <f>VLOOKUP(C217,[3]WAU!A:C,3,0)</f>
        <v>346</v>
      </c>
      <c r="F217" s="9">
        <f>VLOOKUP(D217,[3]MAU!A:C,3,0)</f>
        <v>696</v>
      </c>
      <c r="G217" s="10">
        <f t="shared" si="14"/>
        <v>0.24855491329479767</v>
      </c>
      <c r="H217" s="11">
        <f t="shared" si="15"/>
        <v>0.1235632183908046</v>
      </c>
    </row>
    <row r="218" spans="1:8" x14ac:dyDescent="0.3">
      <c r="A218" s="2">
        <v>44960</v>
      </c>
      <c r="B218" s="8">
        <v>98</v>
      </c>
      <c r="C218" s="9">
        <f t="shared" si="12"/>
        <v>5</v>
      </c>
      <c r="D218" s="9">
        <f t="shared" si="13"/>
        <v>2</v>
      </c>
      <c r="E218" s="9">
        <f>VLOOKUP(C218,[3]WAU!A:C,3,0)</f>
        <v>346</v>
      </c>
      <c r="F218" s="9">
        <f>VLOOKUP(D218,[3]MAU!A:C,3,0)</f>
        <v>696</v>
      </c>
      <c r="G218" s="10">
        <f t="shared" si="14"/>
        <v>0.2832369942196532</v>
      </c>
      <c r="H218" s="11">
        <f t="shared" si="15"/>
        <v>0.14080459770114942</v>
      </c>
    </row>
    <row r="219" spans="1:8" x14ac:dyDescent="0.3">
      <c r="A219" s="2">
        <v>44961</v>
      </c>
      <c r="B219" s="8">
        <v>100</v>
      </c>
      <c r="C219" s="9">
        <f t="shared" si="12"/>
        <v>5</v>
      </c>
      <c r="D219" s="9">
        <f t="shared" si="13"/>
        <v>2</v>
      </c>
      <c r="E219" s="9">
        <f>VLOOKUP(C219,[3]WAU!A:C,3,0)</f>
        <v>346</v>
      </c>
      <c r="F219" s="9">
        <f>VLOOKUP(D219,[3]MAU!A:C,3,0)</f>
        <v>696</v>
      </c>
      <c r="G219" s="10">
        <f t="shared" si="14"/>
        <v>0.28901734104046245</v>
      </c>
      <c r="H219" s="11">
        <f t="shared" si="15"/>
        <v>0.14367816091954022</v>
      </c>
    </row>
    <row r="220" spans="1:8" x14ac:dyDescent="0.3">
      <c r="A220" s="2">
        <v>44962</v>
      </c>
      <c r="B220" s="8">
        <v>95</v>
      </c>
      <c r="C220" s="9">
        <f t="shared" si="12"/>
        <v>5</v>
      </c>
      <c r="D220" s="9">
        <f t="shared" si="13"/>
        <v>2</v>
      </c>
      <c r="E220" s="9">
        <f>VLOOKUP(C220,[3]WAU!A:C,3,0)</f>
        <v>346</v>
      </c>
      <c r="F220" s="9">
        <f>VLOOKUP(D220,[3]MAU!A:C,3,0)</f>
        <v>696</v>
      </c>
      <c r="G220" s="10">
        <f t="shared" si="14"/>
        <v>0.27456647398843931</v>
      </c>
      <c r="H220" s="11">
        <f t="shared" si="15"/>
        <v>0.13649425287356323</v>
      </c>
    </row>
    <row r="221" spans="1:8" x14ac:dyDescent="0.3">
      <c r="A221" s="2">
        <v>44963</v>
      </c>
      <c r="B221" s="8">
        <v>98</v>
      </c>
      <c r="C221" s="9">
        <f t="shared" si="12"/>
        <v>6</v>
      </c>
      <c r="D221" s="9">
        <f t="shared" si="13"/>
        <v>2</v>
      </c>
      <c r="E221" s="9">
        <f>VLOOKUP(C221,[3]WAU!A:C,3,0)</f>
        <v>340</v>
      </c>
      <c r="F221" s="9">
        <f>VLOOKUP(D221,[3]MAU!A:C,3,0)</f>
        <v>696</v>
      </c>
      <c r="G221" s="10">
        <f t="shared" si="14"/>
        <v>0.28823529411764703</v>
      </c>
      <c r="H221" s="11">
        <f t="shared" si="15"/>
        <v>0.14080459770114942</v>
      </c>
    </row>
    <row r="222" spans="1:8" x14ac:dyDescent="0.3">
      <c r="A222" s="2">
        <v>44964</v>
      </c>
      <c r="B222" s="8">
        <v>90</v>
      </c>
      <c r="C222" s="9">
        <f t="shared" si="12"/>
        <v>6</v>
      </c>
      <c r="D222" s="9">
        <f t="shared" si="13"/>
        <v>2</v>
      </c>
      <c r="E222" s="9">
        <f>VLOOKUP(C222,[3]WAU!A:C,3,0)</f>
        <v>340</v>
      </c>
      <c r="F222" s="9">
        <f>VLOOKUP(D222,[3]MAU!A:C,3,0)</f>
        <v>696</v>
      </c>
      <c r="G222" s="10">
        <f t="shared" si="14"/>
        <v>0.26470588235294118</v>
      </c>
      <c r="H222" s="11">
        <f t="shared" si="15"/>
        <v>0.12931034482758622</v>
      </c>
    </row>
    <row r="223" spans="1:8" x14ac:dyDescent="0.3">
      <c r="A223" s="2">
        <v>44965</v>
      </c>
      <c r="B223" s="8">
        <v>107</v>
      </c>
      <c r="C223" s="9">
        <f t="shared" si="12"/>
        <v>6</v>
      </c>
      <c r="D223" s="9">
        <f t="shared" si="13"/>
        <v>2</v>
      </c>
      <c r="E223" s="9">
        <f>VLOOKUP(C223,[3]WAU!A:C,3,0)</f>
        <v>340</v>
      </c>
      <c r="F223" s="9">
        <f>VLOOKUP(D223,[3]MAU!A:C,3,0)</f>
        <v>696</v>
      </c>
      <c r="G223" s="10">
        <f t="shared" si="14"/>
        <v>0.31470588235294117</v>
      </c>
      <c r="H223" s="11">
        <f t="shared" si="15"/>
        <v>0.15373563218390804</v>
      </c>
    </row>
    <row r="224" spans="1:8" x14ac:dyDescent="0.3">
      <c r="A224" s="2">
        <v>44966</v>
      </c>
      <c r="B224" s="8">
        <v>101</v>
      </c>
      <c r="C224" s="9">
        <f t="shared" si="12"/>
        <v>6</v>
      </c>
      <c r="D224" s="9">
        <f t="shared" si="13"/>
        <v>2</v>
      </c>
      <c r="E224" s="9">
        <f>VLOOKUP(C224,[3]WAU!A:C,3,0)</f>
        <v>340</v>
      </c>
      <c r="F224" s="9">
        <f>VLOOKUP(D224,[3]MAU!A:C,3,0)</f>
        <v>696</v>
      </c>
      <c r="G224" s="10">
        <f t="shared" si="14"/>
        <v>0.29705882352941176</v>
      </c>
      <c r="H224" s="11">
        <f t="shared" si="15"/>
        <v>0.14511494252873564</v>
      </c>
    </row>
    <row r="225" spans="1:8" x14ac:dyDescent="0.3">
      <c r="A225" s="2">
        <v>44967</v>
      </c>
      <c r="B225" s="8">
        <v>104</v>
      </c>
      <c r="C225" s="9">
        <f t="shared" si="12"/>
        <v>6</v>
      </c>
      <c r="D225" s="9">
        <f t="shared" si="13"/>
        <v>2</v>
      </c>
      <c r="E225" s="9">
        <f>VLOOKUP(C225,[3]WAU!A:C,3,0)</f>
        <v>340</v>
      </c>
      <c r="F225" s="9">
        <f>VLOOKUP(D225,[3]MAU!A:C,3,0)</f>
        <v>696</v>
      </c>
      <c r="G225" s="10">
        <f t="shared" si="14"/>
        <v>0.30588235294117649</v>
      </c>
      <c r="H225" s="11">
        <f t="shared" si="15"/>
        <v>0.14942528735632185</v>
      </c>
    </row>
    <row r="226" spans="1:8" x14ac:dyDescent="0.3">
      <c r="A226" s="2">
        <v>44968</v>
      </c>
      <c r="B226" s="8">
        <v>98</v>
      </c>
      <c r="C226" s="9">
        <f t="shared" si="12"/>
        <v>6</v>
      </c>
      <c r="D226" s="9">
        <f t="shared" si="13"/>
        <v>2</v>
      </c>
      <c r="E226" s="9">
        <f>VLOOKUP(C226,[3]WAU!A:C,3,0)</f>
        <v>340</v>
      </c>
      <c r="F226" s="9">
        <f>VLOOKUP(D226,[3]MAU!A:C,3,0)</f>
        <v>696</v>
      </c>
      <c r="G226" s="10">
        <f t="shared" si="14"/>
        <v>0.28823529411764703</v>
      </c>
      <c r="H226" s="11">
        <f t="shared" si="15"/>
        <v>0.14080459770114942</v>
      </c>
    </row>
    <row r="227" spans="1:8" x14ac:dyDescent="0.3">
      <c r="A227" s="2">
        <v>44969</v>
      </c>
      <c r="B227" s="8">
        <v>101</v>
      </c>
      <c r="C227" s="9">
        <f t="shared" si="12"/>
        <v>6</v>
      </c>
      <c r="D227" s="9">
        <f t="shared" si="13"/>
        <v>2</v>
      </c>
      <c r="E227" s="9">
        <f>VLOOKUP(C227,[3]WAU!A:C,3,0)</f>
        <v>340</v>
      </c>
      <c r="F227" s="9">
        <f>VLOOKUP(D227,[3]MAU!A:C,3,0)</f>
        <v>696</v>
      </c>
      <c r="G227" s="10">
        <f t="shared" si="14"/>
        <v>0.29705882352941176</v>
      </c>
      <c r="H227" s="11">
        <f t="shared" si="15"/>
        <v>0.14511494252873564</v>
      </c>
    </row>
    <row r="228" spans="1:8" x14ac:dyDescent="0.3">
      <c r="A228" s="2">
        <v>44970</v>
      </c>
      <c r="B228" s="8">
        <v>94</v>
      </c>
      <c r="C228" s="9">
        <f t="shared" si="12"/>
        <v>7</v>
      </c>
      <c r="D228" s="9">
        <f t="shared" si="13"/>
        <v>2</v>
      </c>
      <c r="E228" s="9">
        <f>VLOOKUP(C228,[3]WAU!A:C,3,0)</f>
        <v>347</v>
      </c>
      <c r="F228" s="9">
        <f>VLOOKUP(D228,[3]MAU!A:C,3,0)</f>
        <v>696</v>
      </c>
      <c r="G228" s="10">
        <f t="shared" si="14"/>
        <v>0.27089337175792505</v>
      </c>
      <c r="H228" s="11">
        <f t="shared" si="15"/>
        <v>0.13505747126436782</v>
      </c>
    </row>
    <row r="229" spans="1:8" x14ac:dyDescent="0.3">
      <c r="A229" s="2">
        <v>44971</v>
      </c>
      <c r="B229" s="8">
        <v>108</v>
      </c>
      <c r="C229" s="9">
        <f t="shared" si="12"/>
        <v>7</v>
      </c>
      <c r="D229" s="9">
        <f t="shared" si="13"/>
        <v>2</v>
      </c>
      <c r="E229" s="9">
        <f>VLOOKUP(C229,[3]WAU!A:C,3,0)</f>
        <v>347</v>
      </c>
      <c r="F229" s="9">
        <f>VLOOKUP(D229,[3]MAU!A:C,3,0)</f>
        <v>696</v>
      </c>
      <c r="G229" s="10">
        <f t="shared" si="14"/>
        <v>0.31123919308357351</v>
      </c>
      <c r="H229" s="11">
        <f t="shared" si="15"/>
        <v>0.15517241379310345</v>
      </c>
    </row>
    <row r="230" spans="1:8" x14ac:dyDescent="0.3">
      <c r="A230" s="2">
        <v>44972</v>
      </c>
      <c r="B230" s="8">
        <v>103</v>
      </c>
      <c r="C230" s="9">
        <f t="shared" si="12"/>
        <v>7</v>
      </c>
      <c r="D230" s="9">
        <f t="shared" si="13"/>
        <v>2</v>
      </c>
      <c r="E230" s="9">
        <f>VLOOKUP(C230,[3]WAU!A:C,3,0)</f>
        <v>347</v>
      </c>
      <c r="F230" s="9">
        <f>VLOOKUP(D230,[3]MAU!A:C,3,0)</f>
        <v>696</v>
      </c>
      <c r="G230" s="10">
        <f t="shared" si="14"/>
        <v>0.29682997118155618</v>
      </c>
      <c r="H230" s="11">
        <f t="shared" si="15"/>
        <v>0.14798850574712644</v>
      </c>
    </row>
    <row r="231" spans="1:8" x14ac:dyDescent="0.3">
      <c r="A231" s="2">
        <v>44973</v>
      </c>
      <c r="B231" s="8">
        <v>95</v>
      </c>
      <c r="C231" s="9">
        <f t="shared" si="12"/>
        <v>7</v>
      </c>
      <c r="D231" s="9">
        <f t="shared" si="13"/>
        <v>2</v>
      </c>
      <c r="E231" s="9">
        <f>VLOOKUP(C231,[3]WAU!A:C,3,0)</f>
        <v>347</v>
      </c>
      <c r="F231" s="9">
        <f>VLOOKUP(D231,[3]MAU!A:C,3,0)</f>
        <v>696</v>
      </c>
      <c r="G231" s="10">
        <f t="shared" si="14"/>
        <v>0.2737752161383285</v>
      </c>
      <c r="H231" s="11">
        <f t="shared" si="15"/>
        <v>0.13649425287356323</v>
      </c>
    </row>
    <row r="232" spans="1:8" x14ac:dyDescent="0.3">
      <c r="A232" s="2">
        <v>44974</v>
      </c>
      <c r="B232" s="8">
        <v>107</v>
      </c>
      <c r="C232" s="9">
        <f t="shared" si="12"/>
        <v>7</v>
      </c>
      <c r="D232" s="9">
        <f t="shared" si="13"/>
        <v>2</v>
      </c>
      <c r="E232" s="9">
        <f>VLOOKUP(C232,[3]WAU!A:C,3,0)</f>
        <v>347</v>
      </c>
      <c r="F232" s="9">
        <f>VLOOKUP(D232,[3]MAU!A:C,3,0)</f>
        <v>696</v>
      </c>
      <c r="G232" s="10">
        <f t="shared" si="14"/>
        <v>0.30835734870317005</v>
      </c>
      <c r="H232" s="11">
        <f t="shared" si="15"/>
        <v>0.15373563218390804</v>
      </c>
    </row>
    <row r="233" spans="1:8" x14ac:dyDescent="0.3">
      <c r="A233" s="2">
        <v>44975</v>
      </c>
      <c r="B233" s="8">
        <v>116</v>
      </c>
      <c r="C233" s="9">
        <f t="shared" si="12"/>
        <v>7</v>
      </c>
      <c r="D233" s="9">
        <f t="shared" si="13"/>
        <v>2</v>
      </c>
      <c r="E233" s="9">
        <f>VLOOKUP(C233,[3]WAU!A:C,3,0)</f>
        <v>347</v>
      </c>
      <c r="F233" s="9">
        <f>VLOOKUP(D233,[3]MAU!A:C,3,0)</f>
        <v>696</v>
      </c>
      <c r="G233" s="10">
        <f t="shared" si="14"/>
        <v>0.33429394812680113</v>
      </c>
      <c r="H233" s="11">
        <f t="shared" si="15"/>
        <v>0.16666666666666666</v>
      </c>
    </row>
    <row r="234" spans="1:8" x14ac:dyDescent="0.3">
      <c r="A234" s="2">
        <v>44976</v>
      </c>
      <c r="B234" s="8">
        <v>109</v>
      </c>
      <c r="C234" s="9">
        <f t="shared" si="12"/>
        <v>7</v>
      </c>
      <c r="D234" s="9">
        <f t="shared" si="13"/>
        <v>2</v>
      </c>
      <c r="E234" s="9">
        <f>VLOOKUP(C234,[3]WAU!A:C,3,0)</f>
        <v>347</v>
      </c>
      <c r="F234" s="9">
        <f>VLOOKUP(D234,[3]MAU!A:C,3,0)</f>
        <v>696</v>
      </c>
      <c r="G234" s="10">
        <f t="shared" si="14"/>
        <v>0.31412103746397696</v>
      </c>
      <c r="H234" s="11">
        <f t="shared" si="15"/>
        <v>0.15660919540229884</v>
      </c>
    </row>
    <row r="235" spans="1:8" x14ac:dyDescent="0.3">
      <c r="A235" s="2">
        <v>44977</v>
      </c>
      <c r="B235" s="8">
        <v>84</v>
      </c>
      <c r="C235" s="9">
        <f t="shared" si="12"/>
        <v>8</v>
      </c>
      <c r="D235" s="9">
        <f t="shared" si="13"/>
        <v>2</v>
      </c>
      <c r="E235" s="9">
        <f>VLOOKUP(C235,[3]WAU!A:C,3,0)</f>
        <v>384</v>
      </c>
      <c r="F235" s="9">
        <f>VLOOKUP(D235,[3]MAU!A:C,3,0)</f>
        <v>696</v>
      </c>
      <c r="G235" s="10">
        <f t="shared" si="14"/>
        <v>0.21875</v>
      </c>
      <c r="H235" s="11">
        <f t="shared" si="15"/>
        <v>0.1206896551724138</v>
      </c>
    </row>
    <row r="236" spans="1:8" x14ac:dyDescent="0.3">
      <c r="A236" s="2">
        <v>44978</v>
      </c>
      <c r="B236" s="8">
        <v>98</v>
      </c>
      <c r="C236" s="9">
        <f t="shared" si="12"/>
        <v>8</v>
      </c>
      <c r="D236" s="9">
        <f t="shared" si="13"/>
        <v>2</v>
      </c>
      <c r="E236" s="9">
        <f>VLOOKUP(C236,[3]WAU!A:C,3,0)</f>
        <v>384</v>
      </c>
      <c r="F236" s="9">
        <f>VLOOKUP(D236,[3]MAU!A:C,3,0)</f>
        <v>696</v>
      </c>
      <c r="G236" s="10">
        <f t="shared" si="14"/>
        <v>0.25520833333333331</v>
      </c>
      <c r="H236" s="11">
        <f t="shared" si="15"/>
        <v>0.14080459770114942</v>
      </c>
    </row>
    <row r="237" spans="1:8" x14ac:dyDescent="0.3">
      <c r="A237" s="2">
        <v>44979</v>
      </c>
      <c r="B237" s="8">
        <v>115</v>
      </c>
      <c r="C237" s="9">
        <f t="shared" si="12"/>
        <v>8</v>
      </c>
      <c r="D237" s="9">
        <f t="shared" si="13"/>
        <v>2</v>
      </c>
      <c r="E237" s="9">
        <f>VLOOKUP(C237,[3]WAU!A:C,3,0)</f>
        <v>384</v>
      </c>
      <c r="F237" s="9">
        <f>VLOOKUP(D237,[3]MAU!A:C,3,0)</f>
        <v>696</v>
      </c>
      <c r="G237" s="10">
        <f t="shared" si="14"/>
        <v>0.29947916666666669</v>
      </c>
      <c r="H237" s="11">
        <f t="shared" si="15"/>
        <v>0.16522988505747127</v>
      </c>
    </row>
    <row r="238" spans="1:8" x14ac:dyDescent="0.3">
      <c r="A238" s="2">
        <v>44980</v>
      </c>
      <c r="B238" s="8">
        <v>95</v>
      </c>
      <c r="C238" s="9">
        <f t="shared" si="12"/>
        <v>8</v>
      </c>
      <c r="D238" s="9">
        <f t="shared" si="13"/>
        <v>2</v>
      </c>
      <c r="E238" s="9">
        <f>VLOOKUP(C238,[3]WAU!A:C,3,0)</f>
        <v>384</v>
      </c>
      <c r="F238" s="9">
        <f>VLOOKUP(D238,[3]MAU!A:C,3,0)</f>
        <v>696</v>
      </c>
      <c r="G238" s="10">
        <f t="shared" si="14"/>
        <v>0.24739583333333334</v>
      </c>
      <c r="H238" s="11">
        <f t="shared" si="15"/>
        <v>0.13649425287356323</v>
      </c>
    </row>
    <row r="239" spans="1:8" x14ac:dyDescent="0.3">
      <c r="A239" s="2">
        <v>44981</v>
      </c>
      <c r="B239" s="8">
        <v>106</v>
      </c>
      <c r="C239" s="9">
        <f t="shared" si="12"/>
        <v>8</v>
      </c>
      <c r="D239" s="9">
        <f t="shared" si="13"/>
        <v>2</v>
      </c>
      <c r="E239" s="9">
        <f>VLOOKUP(C239,[3]WAU!A:C,3,0)</f>
        <v>384</v>
      </c>
      <c r="F239" s="9">
        <f>VLOOKUP(D239,[3]MAU!A:C,3,0)</f>
        <v>696</v>
      </c>
      <c r="G239" s="10">
        <f t="shared" si="14"/>
        <v>0.27604166666666669</v>
      </c>
      <c r="H239" s="11">
        <f t="shared" si="15"/>
        <v>0.15229885057471265</v>
      </c>
    </row>
    <row r="240" spans="1:8" x14ac:dyDescent="0.3">
      <c r="A240" s="2">
        <v>44982</v>
      </c>
      <c r="B240" s="8">
        <v>118</v>
      </c>
      <c r="C240" s="9">
        <f t="shared" si="12"/>
        <v>8</v>
      </c>
      <c r="D240" s="9">
        <f t="shared" si="13"/>
        <v>2</v>
      </c>
      <c r="E240" s="9">
        <f>VLOOKUP(C240,[3]WAU!A:C,3,0)</f>
        <v>384</v>
      </c>
      <c r="F240" s="9">
        <f>VLOOKUP(D240,[3]MAU!A:C,3,0)</f>
        <v>696</v>
      </c>
      <c r="G240" s="10">
        <f t="shared" si="14"/>
        <v>0.30729166666666669</v>
      </c>
      <c r="H240" s="11">
        <f t="shared" si="15"/>
        <v>0.16954022988505746</v>
      </c>
    </row>
    <row r="241" spans="1:8" x14ac:dyDescent="0.3">
      <c r="A241" s="2">
        <v>44983</v>
      </c>
      <c r="B241" s="8">
        <v>127</v>
      </c>
      <c r="C241" s="9">
        <f t="shared" si="12"/>
        <v>8</v>
      </c>
      <c r="D241" s="9">
        <f t="shared" si="13"/>
        <v>2</v>
      </c>
      <c r="E241" s="9">
        <f>VLOOKUP(C241,[3]WAU!A:C,3,0)</f>
        <v>384</v>
      </c>
      <c r="F241" s="9">
        <f>VLOOKUP(D241,[3]MAU!A:C,3,0)</f>
        <v>696</v>
      </c>
      <c r="G241" s="10">
        <f t="shared" si="14"/>
        <v>0.33072916666666669</v>
      </c>
      <c r="H241" s="11">
        <f t="shared" si="15"/>
        <v>0.18247126436781611</v>
      </c>
    </row>
    <row r="242" spans="1:8" x14ac:dyDescent="0.3">
      <c r="A242" s="2">
        <v>44984</v>
      </c>
      <c r="B242" s="8">
        <v>104</v>
      </c>
      <c r="C242" s="9">
        <f t="shared" si="12"/>
        <v>9</v>
      </c>
      <c r="D242" s="9">
        <f t="shared" si="13"/>
        <v>2</v>
      </c>
      <c r="E242" s="9">
        <f>VLOOKUP(C242,[3]WAU!A:C,3,0)</f>
        <v>611</v>
      </c>
      <c r="F242" s="9">
        <f>VLOOKUP(D242,[3]MAU!A:C,3,0)</f>
        <v>696</v>
      </c>
      <c r="G242" s="10">
        <f t="shared" si="14"/>
        <v>0.1702127659574468</v>
      </c>
      <c r="H242" s="11">
        <f t="shared" si="15"/>
        <v>0.14942528735632185</v>
      </c>
    </row>
    <row r="243" spans="1:8" x14ac:dyDescent="0.3">
      <c r="A243" s="2">
        <v>44985</v>
      </c>
      <c r="B243" s="8">
        <v>131</v>
      </c>
      <c r="C243" s="9">
        <f t="shared" si="12"/>
        <v>9</v>
      </c>
      <c r="D243" s="9">
        <f t="shared" si="13"/>
        <v>2</v>
      </c>
      <c r="E243" s="9">
        <f>VLOOKUP(C243,[3]WAU!A:C,3,0)</f>
        <v>611</v>
      </c>
      <c r="F243" s="9">
        <f>VLOOKUP(D243,[3]MAU!A:C,3,0)</f>
        <v>696</v>
      </c>
      <c r="G243" s="10">
        <f t="shared" si="14"/>
        <v>0.2144026186579378</v>
      </c>
      <c r="H243" s="11">
        <f t="shared" si="15"/>
        <v>0.18821839080459771</v>
      </c>
    </row>
    <row r="244" spans="1:8" x14ac:dyDescent="0.3">
      <c r="A244" s="12">
        <v>44986</v>
      </c>
      <c r="B244" s="13">
        <v>130</v>
      </c>
      <c r="C244" s="14">
        <f t="shared" si="12"/>
        <v>9</v>
      </c>
      <c r="D244" s="14">
        <f t="shared" si="13"/>
        <v>3</v>
      </c>
      <c r="E244" s="14">
        <f>VLOOKUP(C244,[3]WAU!A:C,3,0)</f>
        <v>611</v>
      </c>
      <c r="F244" s="15">
        <f>VLOOKUP(D244,[3]MAU!A:C,3,0)</f>
        <v>1544</v>
      </c>
      <c r="G244" s="16">
        <f t="shared" si="14"/>
        <v>0.21276595744680851</v>
      </c>
      <c r="H244" s="17">
        <f t="shared" si="15"/>
        <v>8.4196891191709838E-2</v>
      </c>
    </row>
    <row r="245" spans="1:8" x14ac:dyDescent="0.3">
      <c r="A245" s="12">
        <v>44987</v>
      </c>
      <c r="B245" s="13">
        <v>138</v>
      </c>
      <c r="C245" s="14">
        <f t="shared" si="12"/>
        <v>9</v>
      </c>
      <c r="D245" s="14">
        <f t="shared" si="13"/>
        <v>3</v>
      </c>
      <c r="E245" s="14">
        <f>VLOOKUP(C245,[3]WAU!A:C,3,0)</f>
        <v>611</v>
      </c>
      <c r="F245" s="15">
        <f>VLOOKUP(D245,[3]MAU!A:C,3,0)</f>
        <v>1544</v>
      </c>
      <c r="G245" s="16">
        <f t="shared" si="14"/>
        <v>0.22585924713584288</v>
      </c>
      <c r="H245" s="17">
        <f t="shared" si="15"/>
        <v>8.937823834196891E-2</v>
      </c>
    </row>
    <row r="246" spans="1:8" x14ac:dyDescent="0.3">
      <c r="A246" s="12">
        <v>44988</v>
      </c>
      <c r="B246" s="13">
        <v>167</v>
      </c>
      <c r="C246" s="14">
        <f t="shared" si="12"/>
        <v>9</v>
      </c>
      <c r="D246" s="14">
        <f t="shared" si="13"/>
        <v>3</v>
      </c>
      <c r="E246" s="14">
        <f>VLOOKUP(C246,[3]WAU!A:C,3,0)</f>
        <v>611</v>
      </c>
      <c r="F246" s="15">
        <f>VLOOKUP(D246,[3]MAU!A:C,3,0)</f>
        <v>1544</v>
      </c>
      <c r="G246" s="16">
        <f t="shared" si="14"/>
        <v>0.27332242225859249</v>
      </c>
      <c r="H246" s="17">
        <f t="shared" si="15"/>
        <v>0.10816062176165803</v>
      </c>
    </row>
    <row r="247" spans="1:8" x14ac:dyDescent="0.3">
      <c r="A247" s="12">
        <v>44989</v>
      </c>
      <c r="B247" s="13">
        <v>170</v>
      </c>
      <c r="C247" s="14">
        <f t="shared" si="12"/>
        <v>9</v>
      </c>
      <c r="D247" s="14">
        <f t="shared" si="13"/>
        <v>3</v>
      </c>
      <c r="E247" s="14">
        <f>VLOOKUP(C247,[3]WAU!A:C,3,0)</f>
        <v>611</v>
      </c>
      <c r="F247" s="15">
        <f>VLOOKUP(D247,[3]MAU!A:C,3,0)</f>
        <v>1544</v>
      </c>
      <c r="G247" s="16">
        <f t="shared" si="14"/>
        <v>0.27823240589198034</v>
      </c>
      <c r="H247" s="17">
        <f t="shared" si="15"/>
        <v>0.11010362694300518</v>
      </c>
    </row>
    <row r="248" spans="1:8" x14ac:dyDescent="0.3">
      <c r="A248" s="12">
        <v>44990</v>
      </c>
      <c r="B248" s="13">
        <v>165</v>
      </c>
      <c r="C248" s="14">
        <f t="shared" si="12"/>
        <v>9</v>
      </c>
      <c r="D248" s="14">
        <f t="shared" si="13"/>
        <v>3</v>
      </c>
      <c r="E248" s="14">
        <f>VLOOKUP(C248,[3]WAU!A:C,3,0)</f>
        <v>611</v>
      </c>
      <c r="F248" s="15">
        <f>VLOOKUP(D248,[3]MAU!A:C,3,0)</f>
        <v>1544</v>
      </c>
      <c r="G248" s="16">
        <f t="shared" si="14"/>
        <v>0.27004909983633391</v>
      </c>
      <c r="H248" s="17">
        <f t="shared" si="15"/>
        <v>0.10686528497409327</v>
      </c>
    </row>
    <row r="249" spans="1:8" x14ac:dyDescent="0.3">
      <c r="A249" s="12">
        <v>44991</v>
      </c>
      <c r="B249" s="13">
        <v>149</v>
      </c>
      <c r="C249" s="14">
        <f t="shared" si="12"/>
        <v>10</v>
      </c>
      <c r="D249" s="14">
        <f t="shared" si="13"/>
        <v>3</v>
      </c>
      <c r="E249" s="14">
        <f>VLOOKUP(C249,[3]WAU!A:C,3,0)</f>
        <v>712</v>
      </c>
      <c r="F249" s="15">
        <f>VLOOKUP(D249,[3]MAU!A:C,3,0)</f>
        <v>1544</v>
      </c>
      <c r="G249" s="16">
        <f t="shared" si="14"/>
        <v>0.20926966292134833</v>
      </c>
      <c r="H249" s="17">
        <f t="shared" si="15"/>
        <v>9.6502590673575125E-2</v>
      </c>
    </row>
    <row r="250" spans="1:8" x14ac:dyDescent="0.3">
      <c r="A250" s="12">
        <v>44992</v>
      </c>
      <c r="B250" s="13">
        <v>151</v>
      </c>
      <c r="C250" s="14">
        <f t="shared" si="12"/>
        <v>10</v>
      </c>
      <c r="D250" s="14">
        <f t="shared" si="13"/>
        <v>3</v>
      </c>
      <c r="E250" s="14">
        <f>VLOOKUP(C250,[3]WAU!A:C,3,0)</f>
        <v>712</v>
      </c>
      <c r="F250" s="15">
        <f>VLOOKUP(D250,[3]MAU!A:C,3,0)</f>
        <v>1544</v>
      </c>
      <c r="G250" s="16">
        <f t="shared" si="14"/>
        <v>0.21207865168539325</v>
      </c>
      <c r="H250" s="17">
        <f t="shared" si="15"/>
        <v>9.7797927461139897E-2</v>
      </c>
    </row>
    <row r="251" spans="1:8" x14ac:dyDescent="0.3">
      <c r="A251" s="12">
        <v>44993</v>
      </c>
      <c r="B251" s="13">
        <v>173</v>
      </c>
      <c r="C251" s="14">
        <f t="shared" si="12"/>
        <v>10</v>
      </c>
      <c r="D251" s="14">
        <f t="shared" si="13"/>
        <v>3</v>
      </c>
      <c r="E251" s="14">
        <f>VLOOKUP(C251,[3]WAU!A:C,3,0)</f>
        <v>712</v>
      </c>
      <c r="F251" s="15">
        <f>VLOOKUP(D251,[3]MAU!A:C,3,0)</f>
        <v>1544</v>
      </c>
      <c r="G251" s="16">
        <f t="shared" si="14"/>
        <v>0.24297752808988765</v>
      </c>
      <c r="H251" s="17">
        <f t="shared" si="15"/>
        <v>0.11204663212435233</v>
      </c>
    </row>
    <row r="252" spans="1:8" x14ac:dyDescent="0.3">
      <c r="A252" s="12">
        <v>44994</v>
      </c>
      <c r="B252" s="13">
        <v>150</v>
      </c>
      <c r="C252" s="14">
        <f t="shared" si="12"/>
        <v>10</v>
      </c>
      <c r="D252" s="14">
        <f t="shared" si="13"/>
        <v>3</v>
      </c>
      <c r="E252" s="14">
        <f>VLOOKUP(C252,[3]WAU!A:C,3,0)</f>
        <v>712</v>
      </c>
      <c r="F252" s="15">
        <f>VLOOKUP(D252,[3]MAU!A:C,3,0)</f>
        <v>1544</v>
      </c>
      <c r="G252" s="16">
        <f t="shared" si="14"/>
        <v>0.21067415730337077</v>
      </c>
      <c r="H252" s="17">
        <f t="shared" si="15"/>
        <v>9.7150259067357511E-2</v>
      </c>
    </row>
    <row r="253" spans="1:8" x14ac:dyDescent="0.3">
      <c r="A253" s="12">
        <v>44995</v>
      </c>
      <c r="B253" s="13">
        <v>162</v>
      </c>
      <c r="C253" s="14">
        <f t="shared" si="12"/>
        <v>10</v>
      </c>
      <c r="D253" s="14">
        <f t="shared" si="13"/>
        <v>3</v>
      </c>
      <c r="E253" s="14">
        <f>VLOOKUP(C253,[3]WAU!A:C,3,0)</f>
        <v>712</v>
      </c>
      <c r="F253" s="15">
        <f>VLOOKUP(D253,[3]MAU!A:C,3,0)</f>
        <v>1544</v>
      </c>
      <c r="G253" s="16">
        <f t="shared" si="14"/>
        <v>0.22752808988764045</v>
      </c>
      <c r="H253" s="17">
        <f t="shared" si="15"/>
        <v>0.10492227979274611</v>
      </c>
    </row>
    <row r="254" spans="1:8" x14ac:dyDescent="0.3">
      <c r="A254" s="12">
        <v>44996</v>
      </c>
      <c r="B254" s="13">
        <v>175</v>
      </c>
      <c r="C254" s="14">
        <f t="shared" si="12"/>
        <v>10</v>
      </c>
      <c r="D254" s="14">
        <f t="shared" si="13"/>
        <v>3</v>
      </c>
      <c r="E254" s="14">
        <f>VLOOKUP(C254,[3]WAU!A:C,3,0)</f>
        <v>712</v>
      </c>
      <c r="F254" s="15">
        <f>VLOOKUP(D254,[3]MAU!A:C,3,0)</f>
        <v>1544</v>
      </c>
      <c r="G254" s="16">
        <f t="shared" si="14"/>
        <v>0.24578651685393257</v>
      </c>
      <c r="H254" s="17">
        <f t="shared" si="15"/>
        <v>0.1133419689119171</v>
      </c>
    </row>
    <row r="255" spans="1:8" x14ac:dyDescent="0.3">
      <c r="A255" s="12">
        <v>44997</v>
      </c>
      <c r="B255" s="13">
        <v>176</v>
      </c>
      <c r="C255" s="14">
        <f t="shared" si="12"/>
        <v>10</v>
      </c>
      <c r="D255" s="14">
        <f t="shared" si="13"/>
        <v>3</v>
      </c>
      <c r="E255" s="18">
        <f>VLOOKUP(C255,[3]WAU!A:C,3,0)</f>
        <v>712</v>
      </c>
      <c r="F255" s="15">
        <f>VLOOKUP(D255,[3]MAU!A:C,3,0)</f>
        <v>1544</v>
      </c>
      <c r="G255" s="16">
        <f t="shared" si="14"/>
        <v>0.24719101123595505</v>
      </c>
      <c r="H255" s="17">
        <f t="shared" si="15"/>
        <v>0.11398963730569948</v>
      </c>
    </row>
    <row r="256" spans="1:8" x14ac:dyDescent="0.3">
      <c r="A256" s="12">
        <v>44998</v>
      </c>
      <c r="B256" s="13">
        <v>180</v>
      </c>
      <c r="C256" s="14">
        <f t="shared" si="12"/>
        <v>11</v>
      </c>
      <c r="D256" s="14">
        <f t="shared" si="13"/>
        <v>3</v>
      </c>
      <c r="E256" s="15">
        <f>VLOOKUP(C256,[3]WAU!A:C,3,0)</f>
        <v>772</v>
      </c>
      <c r="F256" s="15">
        <f>VLOOKUP(D256,[3]MAU!A:C,3,0)</f>
        <v>1544</v>
      </c>
      <c r="G256" s="16">
        <f t="shared" si="14"/>
        <v>0.23316062176165803</v>
      </c>
      <c r="H256" s="17">
        <f t="shared" si="15"/>
        <v>0.11658031088082901</v>
      </c>
    </row>
    <row r="257" spans="1:8" x14ac:dyDescent="0.3">
      <c r="A257" s="12">
        <v>44999</v>
      </c>
      <c r="B257" s="13">
        <v>168</v>
      </c>
      <c r="C257" s="14">
        <f t="shared" si="12"/>
        <v>11</v>
      </c>
      <c r="D257" s="14">
        <f t="shared" si="13"/>
        <v>3</v>
      </c>
      <c r="E257" s="15">
        <f>VLOOKUP(C257,[3]WAU!A:C,3,0)</f>
        <v>772</v>
      </c>
      <c r="F257" s="15">
        <f>VLOOKUP(D257,[3]MAU!A:C,3,0)</f>
        <v>1544</v>
      </c>
      <c r="G257" s="16">
        <f t="shared" si="14"/>
        <v>0.21761658031088082</v>
      </c>
      <c r="H257" s="17">
        <f t="shared" si="15"/>
        <v>0.10880829015544041</v>
      </c>
    </row>
    <row r="258" spans="1:8" x14ac:dyDescent="0.3">
      <c r="A258" s="12">
        <v>45000</v>
      </c>
      <c r="B258" s="13">
        <v>185</v>
      </c>
      <c r="C258" s="14">
        <f t="shared" si="12"/>
        <v>11</v>
      </c>
      <c r="D258" s="14">
        <f t="shared" si="13"/>
        <v>3</v>
      </c>
      <c r="E258" s="15">
        <f>VLOOKUP(C258,[3]WAU!A:C,3,0)</f>
        <v>772</v>
      </c>
      <c r="F258" s="15">
        <f>VLOOKUP(D258,[3]MAU!A:C,3,0)</f>
        <v>1544</v>
      </c>
      <c r="G258" s="16">
        <f t="shared" si="14"/>
        <v>0.23963730569948186</v>
      </c>
      <c r="H258" s="17">
        <f t="shared" si="15"/>
        <v>0.11981865284974093</v>
      </c>
    </row>
    <row r="259" spans="1:8" x14ac:dyDescent="0.3">
      <c r="A259" s="12">
        <v>45001</v>
      </c>
      <c r="B259" s="13">
        <v>181</v>
      </c>
      <c r="C259" s="14">
        <f t="shared" ref="C259:C304" si="16">_xlfn.ISOWEEKNUM(A259)</f>
        <v>11</v>
      </c>
      <c r="D259" s="14">
        <f t="shared" ref="D259:D304" si="17">MONTH(A259)</f>
        <v>3</v>
      </c>
      <c r="E259" s="15">
        <f>VLOOKUP(C259,[3]WAU!A:C,3,0)</f>
        <v>772</v>
      </c>
      <c r="F259" s="15">
        <f>VLOOKUP(D259,[3]MAU!A:C,3,0)</f>
        <v>1544</v>
      </c>
      <c r="G259" s="16">
        <f t="shared" ref="G259:G304" si="18">B259/E259</f>
        <v>0.2344559585492228</v>
      </c>
      <c r="H259" s="17">
        <f t="shared" ref="H259:H304" si="19">B259/F259</f>
        <v>0.1172279792746114</v>
      </c>
    </row>
    <row r="260" spans="1:8" x14ac:dyDescent="0.3">
      <c r="A260" s="12">
        <v>45002</v>
      </c>
      <c r="B260" s="13">
        <v>172</v>
      </c>
      <c r="C260" s="14">
        <f t="shared" si="16"/>
        <v>11</v>
      </c>
      <c r="D260" s="14">
        <f t="shared" si="17"/>
        <v>3</v>
      </c>
      <c r="E260" s="15">
        <f>VLOOKUP(C260,[3]WAU!A:C,3,0)</f>
        <v>772</v>
      </c>
      <c r="F260" s="15">
        <f>VLOOKUP(D260,[3]MAU!A:C,3,0)</f>
        <v>1544</v>
      </c>
      <c r="G260" s="16">
        <f t="shared" si="18"/>
        <v>0.22279792746113988</v>
      </c>
      <c r="H260" s="17">
        <f t="shared" si="19"/>
        <v>0.11139896373056994</v>
      </c>
    </row>
    <row r="261" spans="1:8" x14ac:dyDescent="0.3">
      <c r="A261" s="12">
        <v>45003</v>
      </c>
      <c r="B261" s="13">
        <v>187</v>
      </c>
      <c r="C261" s="14">
        <f t="shared" si="16"/>
        <v>11</v>
      </c>
      <c r="D261" s="14">
        <f t="shared" si="17"/>
        <v>3</v>
      </c>
      <c r="E261" s="15">
        <f>VLOOKUP(C261,[3]WAU!A:C,3,0)</f>
        <v>772</v>
      </c>
      <c r="F261" s="15">
        <f>VLOOKUP(D261,[3]MAU!A:C,3,0)</f>
        <v>1544</v>
      </c>
      <c r="G261" s="16">
        <f t="shared" si="18"/>
        <v>0.2422279792746114</v>
      </c>
      <c r="H261" s="17">
        <f t="shared" si="19"/>
        <v>0.1211139896373057</v>
      </c>
    </row>
    <row r="262" spans="1:8" x14ac:dyDescent="0.3">
      <c r="A262" s="12">
        <v>45004</v>
      </c>
      <c r="B262" s="19">
        <v>218</v>
      </c>
      <c r="C262" s="14">
        <f t="shared" si="16"/>
        <v>11</v>
      </c>
      <c r="D262" s="14">
        <f t="shared" si="17"/>
        <v>3</v>
      </c>
      <c r="E262" s="15">
        <f>VLOOKUP(C262,[3]WAU!A:C,3,0)</f>
        <v>772</v>
      </c>
      <c r="F262" s="15">
        <f>VLOOKUP(D262,[3]MAU!A:C,3,0)</f>
        <v>1544</v>
      </c>
      <c r="G262" s="16">
        <f t="shared" si="18"/>
        <v>0.28238341968911918</v>
      </c>
      <c r="H262" s="17">
        <f t="shared" si="19"/>
        <v>0.14119170984455959</v>
      </c>
    </row>
    <row r="263" spans="1:8" x14ac:dyDescent="0.3">
      <c r="A263" s="12">
        <v>45005</v>
      </c>
      <c r="B263" s="13">
        <v>184</v>
      </c>
      <c r="C263" s="14">
        <f t="shared" si="16"/>
        <v>12</v>
      </c>
      <c r="D263" s="14">
        <f t="shared" si="17"/>
        <v>3</v>
      </c>
      <c r="E263" s="14">
        <f>VLOOKUP(C263,[3]WAU!A:C,3,0)</f>
        <v>656</v>
      </c>
      <c r="F263" s="15">
        <f>VLOOKUP(D263,[3]MAU!A:C,3,0)</f>
        <v>1544</v>
      </c>
      <c r="G263" s="16">
        <f t="shared" si="18"/>
        <v>0.28048780487804881</v>
      </c>
      <c r="H263" s="17">
        <f t="shared" si="19"/>
        <v>0.11917098445595854</v>
      </c>
    </row>
    <row r="264" spans="1:8" x14ac:dyDescent="0.3">
      <c r="A264" s="12">
        <v>45006</v>
      </c>
      <c r="B264" s="13">
        <v>194</v>
      </c>
      <c r="C264" s="14">
        <f t="shared" si="16"/>
        <v>12</v>
      </c>
      <c r="D264" s="14">
        <f t="shared" si="17"/>
        <v>3</v>
      </c>
      <c r="E264" s="14">
        <f>VLOOKUP(C264,[3]WAU!A:C,3,0)</f>
        <v>656</v>
      </c>
      <c r="F264" s="15">
        <f>VLOOKUP(D264,[3]MAU!A:C,3,0)</f>
        <v>1544</v>
      </c>
      <c r="G264" s="16">
        <f t="shared" si="18"/>
        <v>0.29573170731707316</v>
      </c>
      <c r="H264" s="17">
        <f t="shared" si="19"/>
        <v>0.12564766839378239</v>
      </c>
    </row>
    <row r="265" spans="1:8" x14ac:dyDescent="0.3">
      <c r="A265" s="2">
        <v>45007</v>
      </c>
      <c r="B265" s="8">
        <v>131</v>
      </c>
      <c r="C265" s="9">
        <f t="shared" si="16"/>
        <v>12</v>
      </c>
      <c r="D265" s="9">
        <f t="shared" si="17"/>
        <v>3</v>
      </c>
      <c r="E265" s="9">
        <f>VLOOKUP(C265,[3]WAU!A:C,3,0)</f>
        <v>656</v>
      </c>
      <c r="F265" s="20">
        <f>VLOOKUP(D265,[3]MAU!A:C,3,0)</f>
        <v>1544</v>
      </c>
      <c r="G265" s="10">
        <f t="shared" si="18"/>
        <v>0.19969512195121952</v>
      </c>
      <c r="H265" s="11">
        <f t="shared" si="19"/>
        <v>8.4844559585492224E-2</v>
      </c>
    </row>
    <row r="266" spans="1:8" x14ac:dyDescent="0.3">
      <c r="A266" s="2">
        <v>45008</v>
      </c>
      <c r="B266" s="8">
        <v>176</v>
      </c>
      <c r="C266" s="9">
        <f t="shared" si="16"/>
        <v>12</v>
      </c>
      <c r="D266" s="9">
        <f t="shared" si="17"/>
        <v>3</v>
      </c>
      <c r="E266" s="9">
        <f>VLOOKUP(C266,[3]WAU!A:C,3,0)</f>
        <v>656</v>
      </c>
      <c r="F266" s="20">
        <f>VLOOKUP(D266,[3]MAU!A:C,3,0)</f>
        <v>1544</v>
      </c>
      <c r="G266" s="10">
        <f t="shared" si="18"/>
        <v>0.26829268292682928</v>
      </c>
      <c r="H266" s="11">
        <f t="shared" si="19"/>
        <v>0.11398963730569948</v>
      </c>
    </row>
    <row r="267" spans="1:8" x14ac:dyDescent="0.3">
      <c r="A267" s="2">
        <v>45009</v>
      </c>
      <c r="B267" s="8">
        <v>136</v>
      </c>
      <c r="C267" s="9">
        <f t="shared" si="16"/>
        <v>12</v>
      </c>
      <c r="D267" s="9">
        <f t="shared" si="17"/>
        <v>3</v>
      </c>
      <c r="E267" s="9">
        <f>VLOOKUP(C267,[3]WAU!A:C,3,0)</f>
        <v>656</v>
      </c>
      <c r="F267" s="20">
        <f>VLOOKUP(D267,[3]MAU!A:C,3,0)</f>
        <v>1544</v>
      </c>
      <c r="G267" s="10">
        <f t="shared" si="18"/>
        <v>0.2073170731707317</v>
      </c>
      <c r="H267" s="11">
        <f t="shared" si="19"/>
        <v>8.8082901554404139E-2</v>
      </c>
    </row>
    <row r="268" spans="1:8" x14ac:dyDescent="0.3">
      <c r="A268" s="2">
        <v>45010</v>
      </c>
      <c r="B268" s="8">
        <v>153</v>
      </c>
      <c r="C268" s="9">
        <f t="shared" si="16"/>
        <v>12</v>
      </c>
      <c r="D268" s="9">
        <f t="shared" si="17"/>
        <v>3</v>
      </c>
      <c r="E268" s="9">
        <f>VLOOKUP(C268,[3]WAU!A:C,3,0)</f>
        <v>656</v>
      </c>
      <c r="F268" s="20">
        <f>VLOOKUP(D268,[3]MAU!A:C,3,0)</f>
        <v>1544</v>
      </c>
      <c r="G268" s="10">
        <f t="shared" si="18"/>
        <v>0.23323170731707318</v>
      </c>
      <c r="H268" s="11">
        <f t="shared" si="19"/>
        <v>9.9093264248704668E-2</v>
      </c>
    </row>
    <row r="269" spans="1:8" x14ac:dyDescent="0.3">
      <c r="A269" s="2">
        <v>45011</v>
      </c>
      <c r="B269" s="8">
        <v>159</v>
      </c>
      <c r="C269" s="9">
        <f t="shared" si="16"/>
        <v>12</v>
      </c>
      <c r="D269" s="9">
        <f t="shared" si="17"/>
        <v>3</v>
      </c>
      <c r="E269" s="9">
        <f>VLOOKUP(C269,[3]WAU!A:C,3,0)</f>
        <v>656</v>
      </c>
      <c r="F269" s="20">
        <f>VLOOKUP(D269,[3]MAU!A:C,3,0)</f>
        <v>1544</v>
      </c>
      <c r="G269" s="10">
        <f t="shared" si="18"/>
        <v>0.2423780487804878</v>
      </c>
      <c r="H269" s="11">
        <f t="shared" si="19"/>
        <v>0.10297927461139897</v>
      </c>
    </row>
    <row r="270" spans="1:8" x14ac:dyDescent="0.3">
      <c r="A270" s="2">
        <v>45012</v>
      </c>
      <c r="B270" s="8">
        <v>143</v>
      </c>
      <c r="C270" s="9">
        <f t="shared" si="16"/>
        <v>13</v>
      </c>
      <c r="D270" s="9">
        <f t="shared" si="17"/>
        <v>3</v>
      </c>
      <c r="E270" s="9">
        <f>VLOOKUP(C270,[3]WAU!A:C,3,0)</f>
        <v>661</v>
      </c>
      <c r="F270" s="20">
        <f>VLOOKUP(D270,[3]MAU!A:C,3,0)</f>
        <v>1544</v>
      </c>
      <c r="G270" s="10">
        <f t="shared" si="18"/>
        <v>0.21633888048411498</v>
      </c>
      <c r="H270" s="11">
        <f t="shared" si="19"/>
        <v>9.2616580310880825E-2</v>
      </c>
    </row>
    <row r="271" spans="1:8" x14ac:dyDescent="0.3">
      <c r="A271" s="2">
        <v>45013</v>
      </c>
      <c r="B271" s="8">
        <v>156</v>
      </c>
      <c r="C271" s="9">
        <f t="shared" si="16"/>
        <v>13</v>
      </c>
      <c r="D271" s="9">
        <f t="shared" si="17"/>
        <v>3</v>
      </c>
      <c r="E271" s="9">
        <f>VLOOKUP(C271,[3]WAU!A:C,3,0)</f>
        <v>661</v>
      </c>
      <c r="F271" s="20">
        <f>VLOOKUP(D271,[3]MAU!A:C,3,0)</f>
        <v>1544</v>
      </c>
      <c r="G271" s="10">
        <f t="shared" si="18"/>
        <v>0.23600605143721634</v>
      </c>
      <c r="H271" s="11">
        <f t="shared" si="19"/>
        <v>0.10103626943005181</v>
      </c>
    </row>
    <row r="272" spans="1:8" x14ac:dyDescent="0.3">
      <c r="A272" s="2">
        <v>45014</v>
      </c>
      <c r="B272" s="8">
        <v>151</v>
      </c>
      <c r="C272" s="9">
        <f t="shared" si="16"/>
        <v>13</v>
      </c>
      <c r="D272" s="9">
        <f t="shared" si="17"/>
        <v>3</v>
      </c>
      <c r="E272" s="9">
        <f>VLOOKUP(C272,[3]WAU!A:C,3,0)</f>
        <v>661</v>
      </c>
      <c r="F272" s="20">
        <f>VLOOKUP(D272,[3]MAU!A:C,3,0)</f>
        <v>1544</v>
      </c>
      <c r="G272" s="10">
        <f t="shared" si="18"/>
        <v>0.22844175491679275</v>
      </c>
      <c r="H272" s="11">
        <f t="shared" si="19"/>
        <v>9.7797927461139897E-2</v>
      </c>
    </row>
    <row r="273" spans="1:8" x14ac:dyDescent="0.3">
      <c r="A273" s="2">
        <v>45015</v>
      </c>
      <c r="B273" s="8">
        <v>148</v>
      </c>
      <c r="C273" s="9">
        <f t="shared" si="16"/>
        <v>13</v>
      </c>
      <c r="D273" s="9">
        <f t="shared" si="17"/>
        <v>3</v>
      </c>
      <c r="E273" s="9">
        <f>VLOOKUP(C273,[3]WAU!A:C,3,0)</f>
        <v>661</v>
      </c>
      <c r="F273" s="20">
        <f>VLOOKUP(D273,[3]MAU!A:C,3,0)</f>
        <v>1544</v>
      </c>
      <c r="G273" s="10">
        <f t="shared" si="18"/>
        <v>0.22390317700453857</v>
      </c>
      <c r="H273" s="11">
        <f t="shared" si="19"/>
        <v>9.585492227979274E-2</v>
      </c>
    </row>
    <row r="274" spans="1:8" x14ac:dyDescent="0.3">
      <c r="A274" s="2">
        <v>45016</v>
      </c>
      <c r="B274" s="8">
        <v>184</v>
      </c>
      <c r="C274" s="9">
        <f t="shared" si="16"/>
        <v>13</v>
      </c>
      <c r="D274" s="9">
        <f t="shared" si="17"/>
        <v>3</v>
      </c>
      <c r="E274" s="9">
        <f>VLOOKUP(C274,[3]WAU!A:C,3,0)</f>
        <v>661</v>
      </c>
      <c r="F274" s="20">
        <f>VLOOKUP(D274,[3]MAU!A:C,3,0)</f>
        <v>1544</v>
      </c>
      <c r="G274" s="10">
        <f t="shared" si="18"/>
        <v>0.2783661119515885</v>
      </c>
      <c r="H274" s="11">
        <f t="shared" si="19"/>
        <v>0.11917098445595854</v>
      </c>
    </row>
    <row r="275" spans="1:8" x14ac:dyDescent="0.3">
      <c r="A275" s="2">
        <v>45017</v>
      </c>
      <c r="B275" s="8">
        <v>204</v>
      </c>
      <c r="C275" s="9">
        <f t="shared" si="16"/>
        <v>13</v>
      </c>
      <c r="D275" s="9">
        <f t="shared" si="17"/>
        <v>4</v>
      </c>
      <c r="E275" s="9">
        <f>VLOOKUP(C275,[3]WAU!A:C,3,0)</f>
        <v>661</v>
      </c>
      <c r="F275" s="9">
        <f>VLOOKUP(D275,[3]MAU!A:C,3,0)</f>
        <v>1027</v>
      </c>
      <c r="G275" s="10">
        <f t="shared" si="18"/>
        <v>0.30862329803328292</v>
      </c>
      <c r="H275" s="11">
        <f t="shared" si="19"/>
        <v>0.19863680623174293</v>
      </c>
    </row>
    <row r="276" spans="1:8" x14ac:dyDescent="0.3">
      <c r="A276" s="2">
        <v>45018</v>
      </c>
      <c r="B276" s="8">
        <v>215</v>
      </c>
      <c r="C276" s="9">
        <f t="shared" si="16"/>
        <v>13</v>
      </c>
      <c r="D276" s="9">
        <f t="shared" si="17"/>
        <v>4</v>
      </c>
      <c r="E276" s="9">
        <f>VLOOKUP(C276,[3]WAU!A:C,3,0)</f>
        <v>661</v>
      </c>
      <c r="F276" s="9">
        <f>VLOOKUP(D276,[3]MAU!A:C,3,0)</f>
        <v>1027</v>
      </c>
      <c r="G276" s="10">
        <f t="shared" si="18"/>
        <v>0.32526475037821484</v>
      </c>
      <c r="H276" s="11">
        <f t="shared" si="19"/>
        <v>0.20934761441090555</v>
      </c>
    </row>
    <row r="277" spans="1:8" x14ac:dyDescent="0.3">
      <c r="A277" s="2">
        <v>45019</v>
      </c>
      <c r="B277" s="8">
        <v>198</v>
      </c>
      <c r="C277" s="9">
        <f t="shared" si="16"/>
        <v>14</v>
      </c>
      <c r="D277" s="9">
        <f t="shared" si="17"/>
        <v>4</v>
      </c>
      <c r="E277" s="9">
        <f>VLOOKUP(C277,[3]WAU!A:C,3,0)</f>
        <v>699</v>
      </c>
      <c r="F277" s="9">
        <f>VLOOKUP(D277,[3]MAU!A:C,3,0)</f>
        <v>1027</v>
      </c>
      <c r="G277" s="10">
        <f t="shared" si="18"/>
        <v>0.2832618025751073</v>
      </c>
      <c r="H277" s="11">
        <f t="shared" si="19"/>
        <v>0.19279454722492698</v>
      </c>
    </row>
    <row r="278" spans="1:8" x14ac:dyDescent="0.3">
      <c r="A278" s="2">
        <v>45020</v>
      </c>
      <c r="B278" s="8">
        <v>199</v>
      </c>
      <c r="C278" s="9">
        <f t="shared" si="16"/>
        <v>14</v>
      </c>
      <c r="D278" s="9">
        <f t="shared" si="17"/>
        <v>4</v>
      </c>
      <c r="E278" s="9">
        <f>VLOOKUP(C278,[3]WAU!A:C,3,0)</f>
        <v>699</v>
      </c>
      <c r="F278" s="9">
        <f>VLOOKUP(D278,[3]MAU!A:C,3,0)</f>
        <v>1027</v>
      </c>
      <c r="G278" s="10">
        <f t="shared" si="18"/>
        <v>0.28469241773962806</v>
      </c>
      <c r="H278" s="11">
        <f t="shared" si="19"/>
        <v>0.19376825705939629</v>
      </c>
    </row>
    <row r="279" spans="1:8" x14ac:dyDescent="0.3">
      <c r="A279" s="2">
        <v>45021</v>
      </c>
      <c r="B279" s="8">
        <v>188</v>
      </c>
      <c r="C279" s="9">
        <f t="shared" si="16"/>
        <v>14</v>
      </c>
      <c r="D279" s="9">
        <f t="shared" si="17"/>
        <v>4</v>
      </c>
      <c r="E279" s="9">
        <f>VLOOKUP(C279,[3]WAU!A:C,3,0)</f>
        <v>699</v>
      </c>
      <c r="F279" s="9">
        <f>VLOOKUP(D279,[3]MAU!A:C,3,0)</f>
        <v>1027</v>
      </c>
      <c r="G279" s="10">
        <f t="shared" si="18"/>
        <v>0.26895565092989987</v>
      </c>
      <c r="H279" s="11">
        <f t="shared" si="19"/>
        <v>0.1830574488802337</v>
      </c>
    </row>
    <row r="280" spans="1:8" x14ac:dyDescent="0.3">
      <c r="A280" s="2">
        <v>45022</v>
      </c>
      <c r="B280" s="8">
        <v>197</v>
      </c>
      <c r="C280" s="9">
        <f t="shared" si="16"/>
        <v>14</v>
      </c>
      <c r="D280" s="9">
        <f t="shared" si="17"/>
        <v>4</v>
      </c>
      <c r="E280" s="9">
        <f>VLOOKUP(C280,[3]WAU!A:C,3,0)</f>
        <v>699</v>
      </c>
      <c r="F280" s="9">
        <f>VLOOKUP(D280,[3]MAU!A:C,3,0)</f>
        <v>1027</v>
      </c>
      <c r="G280" s="10">
        <f t="shared" si="18"/>
        <v>0.28183118741058655</v>
      </c>
      <c r="H280" s="11">
        <f t="shared" si="19"/>
        <v>0.19182083739045763</v>
      </c>
    </row>
    <row r="281" spans="1:8" x14ac:dyDescent="0.3">
      <c r="A281" s="2">
        <v>45023</v>
      </c>
      <c r="B281" s="8">
        <v>192</v>
      </c>
      <c r="C281" s="9">
        <f t="shared" si="16"/>
        <v>14</v>
      </c>
      <c r="D281" s="9">
        <f t="shared" si="17"/>
        <v>4</v>
      </c>
      <c r="E281" s="9">
        <f>VLOOKUP(C281,[3]WAU!A:C,3,0)</f>
        <v>699</v>
      </c>
      <c r="F281" s="9">
        <f>VLOOKUP(D281,[3]MAU!A:C,3,0)</f>
        <v>1027</v>
      </c>
      <c r="G281" s="10">
        <f t="shared" si="18"/>
        <v>0.27467811158798283</v>
      </c>
      <c r="H281" s="11">
        <f t="shared" si="19"/>
        <v>0.186952288218111</v>
      </c>
    </row>
    <row r="282" spans="1:8" x14ac:dyDescent="0.3">
      <c r="A282" s="2">
        <v>45024</v>
      </c>
      <c r="B282" s="8">
        <v>200</v>
      </c>
      <c r="C282" s="9">
        <f t="shared" si="16"/>
        <v>14</v>
      </c>
      <c r="D282" s="9">
        <f t="shared" si="17"/>
        <v>4</v>
      </c>
      <c r="E282" s="9">
        <f>VLOOKUP(C282,[3]WAU!A:C,3,0)</f>
        <v>699</v>
      </c>
      <c r="F282" s="9">
        <f>VLOOKUP(D282,[3]MAU!A:C,3,0)</f>
        <v>1027</v>
      </c>
      <c r="G282" s="10">
        <f t="shared" si="18"/>
        <v>0.28612303290414881</v>
      </c>
      <c r="H282" s="11">
        <f t="shared" si="19"/>
        <v>0.19474196689386564</v>
      </c>
    </row>
    <row r="283" spans="1:8" x14ac:dyDescent="0.3">
      <c r="A283" s="2">
        <v>45025</v>
      </c>
      <c r="B283" s="8">
        <v>192</v>
      </c>
      <c r="C283" s="9">
        <f t="shared" si="16"/>
        <v>14</v>
      </c>
      <c r="D283" s="9">
        <f t="shared" si="17"/>
        <v>4</v>
      </c>
      <c r="E283" s="9">
        <f>VLOOKUP(C283,[3]WAU!A:C,3,0)</f>
        <v>699</v>
      </c>
      <c r="F283" s="9">
        <f>VLOOKUP(D283,[3]MAU!A:C,3,0)</f>
        <v>1027</v>
      </c>
      <c r="G283" s="10">
        <f t="shared" si="18"/>
        <v>0.27467811158798283</v>
      </c>
      <c r="H283" s="11">
        <f t="shared" si="19"/>
        <v>0.186952288218111</v>
      </c>
    </row>
    <row r="284" spans="1:8" x14ac:dyDescent="0.3">
      <c r="A284" s="2">
        <v>45026</v>
      </c>
      <c r="B284" s="8">
        <v>172</v>
      </c>
      <c r="C284" s="9">
        <f t="shared" si="16"/>
        <v>15</v>
      </c>
      <c r="D284" s="9">
        <f t="shared" si="17"/>
        <v>4</v>
      </c>
      <c r="E284" s="9">
        <f>VLOOKUP(C284,[3]WAU!A:C,3,0)</f>
        <v>614</v>
      </c>
      <c r="F284" s="9">
        <f>VLOOKUP(D284,[3]MAU!A:C,3,0)</f>
        <v>1027</v>
      </c>
      <c r="G284" s="10">
        <f t="shared" si="18"/>
        <v>0.28013029315960913</v>
      </c>
      <c r="H284" s="11">
        <f t="shared" si="19"/>
        <v>0.16747809152872445</v>
      </c>
    </row>
    <row r="285" spans="1:8" x14ac:dyDescent="0.3">
      <c r="A285" s="2">
        <v>45027</v>
      </c>
      <c r="B285" s="8">
        <v>160</v>
      </c>
      <c r="C285" s="9">
        <f t="shared" si="16"/>
        <v>15</v>
      </c>
      <c r="D285" s="9">
        <f t="shared" si="17"/>
        <v>4</v>
      </c>
      <c r="E285" s="9">
        <f>VLOOKUP(C285,[3]WAU!A:C,3,0)</f>
        <v>614</v>
      </c>
      <c r="F285" s="9">
        <f>VLOOKUP(D285,[3]MAU!A:C,3,0)</f>
        <v>1027</v>
      </c>
      <c r="G285" s="10">
        <f t="shared" si="18"/>
        <v>0.26058631921824105</v>
      </c>
      <c r="H285" s="11">
        <f t="shared" si="19"/>
        <v>0.15579357351509251</v>
      </c>
    </row>
    <row r="286" spans="1:8" x14ac:dyDescent="0.3">
      <c r="A286" s="2">
        <v>45028</v>
      </c>
      <c r="B286" s="8">
        <v>168</v>
      </c>
      <c r="C286" s="9">
        <f t="shared" si="16"/>
        <v>15</v>
      </c>
      <c r="D286" s="9">
        <f t="shared" si="17"/>
        <v>4</v>
      </c>
      <c r="E286" s="9">
        <f>VLOOKUP(C286,[3]WAU!A:C,3,0)</f>
        <v>614</v>
      </c>
      <c r="F286" s="9">
        <f>VLOOKUP(D286,[3]MAU!A:C,3,0)</f>
        <v>1027</v>
      </c>
      <c r="G286" s="10">
        <f t="shared" si="18"/>
        <v>0.2736156351791531</v>
      </c>
      <c r="H286" s="11">
        <f t="shared" si="19"/>
        <v>0.16358325219084713</v>
      </c>
    </row>
    <row r="287" spans="1:8" x14ac:dyDescent="0.3">
      <c r="A287" s="2">
        <v>45029</v>
      </c>
      <c r="B287" s="8">
        <v>171</v>
      </c>
      <c r="C287" s="9">
        <f t="shared" si="16"/>
        <v>15</v>
      </c>
      <c r="D287" s="9">
        <f t="shared" si="17"/>
        <v>4</v>
      </c>
      <c r="E287" s="9">
        <f>VLOOKUP(C287,[3]WAU!A:C,3,0)</f>
        <v>614</v>
      </c>
      <c r="F287" s="9">
        <f>VLOOKUP(D287,[3]MAU!A:C,3,0)</f>
        <v>1027</v>
      </c>
      <c r="G287" s="10">
        <f t="shared" si="18"/>
        <v>0.27850162866449513</v>
      </c>
      <c r="H287" s="11">
        <f t="shared" si="19"/>
        <v>0.1665043816942551</v>
      </c>
    </row>
    <row r="288" spans="1:8" x14ac:dyDescent="0.3">
      <c r="A288" s="2">
        <v>45030</v>
      </c>
      <c r="B288" s="8">
        <v>154</v>
      </c>
      <c r="C288" s="9">
        <f t="shared" si="16"/>
        <v>15</v>
      </c>
      <c r="D288" s="9">
        <f t="shared" si="17"/>
        <v>4</v>
      </c>
      <c r="E288" s="9">
        <f>VLOOKUP(C288,[3]WAU!A:C,3,0)</f>
        <v>614</v>
      </c>
      <c r="F288" s="9">
        <f>VLOOKUP(D288,[3]MAU!A:C,3,0)</f>
        <v>1027</v>
      </c>
      <c r="G288" s="10">
        <f t="shared" si="18"/>
        <v>0.250814332247557</v>
      </c>
      <c r="H288" s="11">
        <f t="shared" si="19"/>
        <v>0.14995131450827653</v>
      </c>
    </row>
    <row r="289" spans="1:8" x14ac:dyDescent="0.3">
      <c r="A289" s="2">
        <v>45031</v>
      </c>
      <c r="B289" s="8">
        <v>146</v>
      </c>
      <c r="C289" s="9">
        <f t="shared" si="16"/>
        <v>15</v>
      </c>
      <c r="D289" s="9">
        <f t="shared" si="17"/>
        <v>4</v>
      </c>
      <c r="E289" s="9">
        <f>VLOOKUP(C289,[3]WAU!A:C,3,0)</f>
        <v>614</v>
      </c>
      <c r="F289" s="9">
        <f>VLOOKUP(D289,[3]MAU!A:C,3,0)</f>
        <v>1027</v>
      </c>
      <c r="G289" s="10">
        <f t="shared" si="18"/>
        <v>0.23778501628664495</v>
      </c>
      <c r="H289" s="11">
        <f t="shared" si="19"/>
        <v>0.14216163583252192</v>
      </c>
    </row>
    <row r="290" spans="1:8" x14ac:dyDescent="0.3">
      <c r="A290" s="2">
        <v>45032</v>
      </c>
      <c r="B290" s="8">
        <v>166</v>
      </c>
      <c r="C290" s="9">
        <f t="shared" si="16"/>
        <v>15</v>
      </c>
      <c r="D290" s="9">
        <f t="shared" si="17"/>
        <v>4</v>
      </c>
      <c r="E290" s="9">
        <f>VLOOKUP(C290,[3]WAU!A:C,3,0)</f>
        <v>614</v>
      </c>
      <c r="F290" s="9">
        <f>VLOOKUP(D290,[3]MAU!A:C,3,0)</f>
        <v>1027</v>
      </c>
      <c r="G290" s="10">
        <f t="shared" si="18"/>
        <v>0.27035830618892509</v>
      </c>
      <c r="H290" s="11">
        <f t="shared" si="19"/>
        <v>0.16163583252190847</v>
      </c>
    </row>
    <row r="291" spans="1:8" x14ac:dyDescent="0.3">
      <c r="A291" s="2">
        <v>45033</v>
      </c>
      <c r="B291" s="8">
        <v>134</v>
      </c>
      <c r="C291" s="9">
        <f t="shared" si="16"/>
        <v>16</v>
      </c>
      <c r="D291" s="9">
        <f t="shared" si="17"/>
        <v>4</v>
      </c>
      <c r="E291" s="9">
        <f>VLOOKUP(C291,[3]WAU!A:C,3,0)</f>
        <v>545</v>
      </c>
      <c r="F291" s="9">
        <f>VLOOKUP(D291,[3]MAU!A:C,3,0)</f>
        <v>1027</v>
      </c>
      <c r="G291" s="10">
        <f t="shared" si="18"/>
        <v>0.24587155963302754</v>
      </c>
      <c r="H291" s="11">
        <f t="shared" si="19"/>
        <v>0.13047711781888996</v>
      </c>
    </row>
    <row r="292" spans="1:8" x14ac:dyDescent="0.3">
      <c r="A292" s="2">
        <v>45034</v>
      </c>
      <c r="B292" s="8">
        <v>149</v>
      </c>
      <c r="C292" s="9">
        <f t="shared" si="16"/>
        <v>16</v>
      </c>
      <c r="D292" s="9">
        <f t="shared" si="17"/>
        <v>4</v>
      </c>
      <c r="E292" s="9">
        <f>VLOOKUP(C292,[3]WAU!A:C,3,0)</f>
        <v>545</v>
      </c>
      <c r="F292" s="9">
        <f>VLOOKUP(D292,[3]MAU!A:C,3,0)</f>
        <v>1027</v>
      </c>
      <c r="G292" s="10">
        <f t="shared" si="18"/>
        <v>0.27339449541284405</v>
      </c>
      <c r="H292" s="11">
        <f t="shared" si="19"/>
        <v>0.1450827653359299</v>
      </c>
    </row>
    <row r="293" spans="1:8" x14ac:dyDescent="0.3">
      <c r="A293" s="2">
        <v>45035</v>
      </c>
      <c r="B293" s="8">
        <v>132</v>
      </c>
      <c r="C293" s="9">
        <f t="shared" si="16"/>
        <v>16</v>
      </c>
      <c r="D293" s="9">
        <f t="shared" si="17"/>
        <v>4</v>
      </c>
      <c r="E293" s="9">
        <f>VLOOKUP(C293,[3]WAU!A:C,3,0)</f>
        <v>545</v>
      </c>
      <c r="F293" s="9">
        <f>VLOOKUP(D293,[3]MAU!A:C,3,0)</f>
        <v>1027</v>
      </c>
      <c r="G293" s="10">
        <f t="shared" si="18"/>
        <v>0.24220183486238533</v>
      </c>
      <c r="H293" s="11">
        <f t="shared" si="19"/>
        <v>0.12852969814995133</v>
      </c>
    </row>
    <row r="294" spans="1:8" x14ac:dyDescent="0.3">
      <c r="A294" s="2">
        <v>45036</v>
      </c>
      <c r="B294" s="8">
        <v>131</v>
      </c>
      <c r="C294" s="9">
        <f t="shared" si="16"/>
        <v>16</v>
      </c>
      <c r="D294" s="9">
        <f t="shared" si="17"/>
        <v>4</v>
      </c>
      <c r="E294" s="9">
        <f>VLOOKUP(C294,[3]WAU!A:C,3,0)</f>
        <v>545</v>
      </c>
      <c r="F294" s="9">
        <f>VLOOKUP(D294,[3]MAU!A:C,3,0)</f>
        <v>1027</v>
      </c>
      <c r="G294" s="10">
        <f t="shared" si="18"/>
        <v>0.24036697247706423</v>
      </c>
      <c r="H294" s="11">
        <f t="shared" si="19"/>
        <v>0.12755598831548198</v>
      </c>
    </row>
    <row r="295" spans="1:8" x14ac:dyDescent="0.3">
      <c r="A295" s="2">
        <v>45037</v>
      </c>
      <c r="B295" s="8">
        <v>104</v>
      </c>
      <c r="C295" s="9">
        <f t="shared" si="16"/>
        <v>16</v>
      </c>
      <c r="D295" s="9">
        <f t="shared" si="17"/>
        <v>4</v>
      </c>
      <c r="E295" s="9">
        <f>VLOOKUP(C295,[3]WAU!A:C,3,0)</f>
        <v>545</v>
      </c>
      <c r="F295" s="9">
        <f>VLOOKUP(D295,[3]MAU!A:C,3,0)</f>
        <v>1027</v>
      </c>
      <c r="G295" s="10">
        <f t="shared" si="18"/>
        <v>0.19082568807339451</v>
      </c>
      <c r="H295" s="11">
        <f t="shared" si="19"/>
        <v>0.10126582278481013</v>
      </c>
    </row>
    <row r="296" spans="1:8" x14ac:dyDescent="0.3">
      <c r="A296" s="2">
        <v>45038</v>
      </c>
      <c r="B296" s="8">
        <v>105</v>
      </c>
      <c r="C296" s="9">
        <f t="shared" si="16"/>
        <v>16</v>
      </c>
      <c r="D296" s="9">
        <f t="shared" si="17"/>
        <v>4</v>
      </c>
      <c r="E296" s="9">
        <f>VLOOKUP(C296,[3]WAU!A:C,3,0)</f>
        <v>545</v>
      </c>
      <c r="F296" s="9">
        <f>VLOOKUP(D296,[3]MAU!A:C,3,0)</f>
        <v>1027</v>
      </c>
      <c r="G296" s="10">
        <f t="shared" si="18"/>
        <v>0.19266055045871561</v>
      </c>
      <c r="H296" s="11">
        <f t="shared" si="19"/>
        <v>0.10223953261927946</v>
      </c>
    </row>
    <row r="297" spans="1:8" x14ac:dyDescent="0.3">
      <c r="A297" s="2">
        <v>45039</v>
      </c>
      <c r="B297" s="8">
        <v>105</v>
      </c>
      <c r="C297" s="9">
        <f t="shared" si="16"/>
        <v>16</v>
      </c>
      <c r="D297" s="9">
        <f t="shared" si="17"/>
        <v>4</v>
      </c>
      <c r="E297" s="9">
        <f>VLOOKUP(C297,[3]WAU!A:C,3,0)</f>
        <v>545</v>
      </c>
      <c r="F297" s="9">
        <f>VLOOKUP(D297,[3]MAU!A:C,3,0)</f>
        <v>1027</v>
      </c>
      <c r="G297" s="10">
        <f t="shared" si="18"/>
        <v>0.19266055045871561</v>
      </c>
      <c r="H297" s="11">
        <f t="shared" si="19"/>
        <v>0.10223953261927946</v>
      </c>
    </row>
    <row r="298" spans="1:8" x14ac:dyDescent="0.3">
      <c r="A298" s="2">
        <v>45040</v>
      </c>
      <c r="B298" s="8">
        <v>90</v>
      </c>
      <c r="C298" s="9">
        <f t="shared" si="16"/>
        <v>17</v>
      </c>
      <c r="D298" s="9">
        <f t="shared" si="17"/>
        <v>4</v>
      </c>
      <c r="E298" s="9">
        <f>VLOOKUP(C298,[3]WAU!A:C,3,0)</f>
        <v>422</v>
      </c>
      <c r="F298" s="9">
        <f>VLOOKUP(D298,[3]MAU!A:C,3,0)</f>
        <v>1027</v>
      </c>
      <c r="G298" s="10">
        <f t="shared" si="18"/>
        <v>0.2132701421800948</v>
      </c>
      <c r="H298" s="11">
        <f t="shared" si="19"/>
        <v>8.7633885102239531E-2</v>
      </c>
    </row>
    <row r="299" spans="1:8" x14ac:dyDescent="0.3">
      <c r="A299" s="2">
        <v>45041</v>
      </c>
      <c r="B299" s="8">
        <v>101</v>
      </c>
      <c r="C299" s="9">
        <f t="shared" si="16"/>
        <v>17</v>
      </c>
      <c r="D299" s="9">
        <f t="shared" si="17"/>
        <v>4</v>
      </c>
      <c r="E299" s="9">
        <f>VLOOKUP(C299,[3]WAU!A:C,3,0)</f>
        <v>422</v>
      </c>
      <c r="F299" s="9">
        <f>VLOOKUP(D299,[3]MAU!A:C,3,0)</f>
        <v>1027</v>
      </c>
      <c r="G299" s="10">
        <f t="shared" si="18"/>
        <v>0.23933649289099526</v>
      </c>
      <c r="H299" s="11">
        <f t="shared" si="19"/>
        <v>9.8344693281402148E-2</v>
      </c>
    </row>
    <row r="300" spans="1:8" x14ac:dyDescent="0.3">
      <c r="A300" s="2">
        <v>45042</v>
      </c>
      <c r="B300" s="8">
        <v>92</v>
      </c>
      <c r="C300" s="9">
        <f t="shared" si="16"/>
        <v>17</v>
      </c>
      <c r="D300" s="9">
        <f t="shared" si="17"/>
        <v>4</v>
      </c>
      <c r="E300" s="9">
        <f>VLOOKUP(C300,[3]WAU!A:C,3,0)</f>
        <v>422</v>
      </c>
      <c r="F300" s="9">
        <f>VLOOKUP(D300,[3]MAU!A:C,3,0)</f>
        <v>1027</v>
      </c>
      <c r="G300" s="10">
        <f t="shared" si="18"/>
        <v>0.21800947867298578</v>
      </c>
      <c r="H300" s="11">
        <f t="shared" si="19"/>
        <v>8.9581304771178191E-2</v>
      </c>
    </row>
    <row r="301" spans="1:8" x14ac:dyDescent="0.3">
      <c r="A301" s="2">
        <v>45043</v>
      </c>
      <c r="B301" s="8">
        <v>68</v>
      </c>
      <c r="C301" s="9">
        <f t="shared" si="16"/>
        <v>17</v>
      </c>
      <c r="D301" s="9">
        <f t="shared" si="17"/>
        <v>4</v>
      </c>
      <c r="E301" s="9">
        <f>VLOOKUP(C301,[3]WAU!A:C,3,0)</f>
        <v>422</v>
      </c>
      <c r="F301" s="9">
        <f>VLOOKUP(D301,[3]MAU!A:C,3,0)</f>
        <v>1027</v>
      </c>
      <c r="G301" s="10">
        <f t="shared" si="18"/>
        <v>0.16113744075829384</v>
      </c>
      <c r="H301" s="11">
        <f t="shared" si="19"/>
        <v>6.621226874391431E-2</v>
      </c>
    </row>
    <row r="302" spans="1:8" x14ac:dyDescent="0.3">
      <c r="A302" s="2">
        <v>45044</v>
      </c>
      <c r="B302" s="8">
        <v>75</v>
      </c>
      <c r="C302" s="9">
        <f t="shared" si="16"/>
        <v>17</v>
      </c>
      <c r="D302" s="9">
        <f t="shared" si="17"/>
        <v>4</v>
      </c>
      <c r="E302" s="9">
        <f>VLOOKUP(C302,[3]WAU!A:C,3,0)</f>
        <v>422</v>
      </c>
      <c r="F302" s="9">
        <f>VLOOKUP(D302,[3]MAU!A:C,3,0)</f>
        <v>1027</v>
      </c>
      <c r="G302" s="10">
        <f t="shared" si="18"/>
        <v>0.17772511848341233</v>
      </c>
      <c r="H302" s="11">
        <f t="shared" si="19"/>
        <v>7.3028237585199607E-2</v>
      </c>
    </row>
    <row r="303" spans="1:8" x14ac:dyDescent="0.3">
      <c r="A303" s="2">
        <v>45045</v>
      </c>
      <c r="B303" s="8">
        <v>73</v>
      </c>
      <c r="C303" s="9">
        <f t="shared" si="16"/>
        <v>17</v>
      </c>
      <c r="D303" s="9">
        <f t="shared" si="17"/>
        <v>4</v>
      </c>
      <c r="E303" s="9">
        <f>VLOOKUP(C303,[3]WAU!A:C,3,0)</f>
        <v>422</v>
      </c>
      <c r="F303" s="9">
        <f>VLOOKUP(D303,[3]MAU!A:C,3,0)</f>
        <v>1027</v>
      </c>
      <c r="G303" s="10">
        <f t="shared" si="18"/>
        <v>0.17298578199052134</v>
      </c>
      <c r="H303" s="11">
        <f t="shared" si="19"/>
        <v>7.108081791626096E-2</v>
      </c>
    </row>
    <row r="304" spans="1:8" x14ac:dyDescent="0.3">
      <c r="A304" s="2">
        <v>45046</v>
      </c>
      <c r="B304" s="8">
        <v>71</v>
      </c>
      <c r="C304" s="9">
        <f t="shared" si="16"/>
        <v>17</v>
      </c>
      <c r="D304" s="9">
        <f t="shared" si="17"/>
        <v>4</v>
      </c>
      <c r="E304" s="9">
        <f>VLOOKUP(C304,[3]WAU!A:C,3,0)</f>
        <v>422</v>
      </c>
      <c r="F304" s="9">
        <f>VLOOKUP(D304,[3]MAU!A:C,3,0)</f>
        <v>1027</v>
      </c>
      <c r="G304" s="10">
        <f t="shared" si="18"/>
        <v>0.16824644549763032</v>
      </c>
      <c r="H304" s="11">
        <f t="shared" si="19"/>
        <v>6.91333982473223E-2</v>
      </c>
    </row>
    <row r="305" spans="1:8" ht="15" thickBot="1" x14ac:dyDescent="0.35">
      <c r="A305" s="21" t="s">
        <v>12</v>
      </c>
      <c r="B305" s="22">
        <f>MAX(B2:B304)</f>
        <v>218</v>
      </c>
      <c r="C305" s="23"/>
      <c r="D305" s="23"/>
      <c r="E305" s="23">
        <f>MAX(E2:E304)</f>
        <v>772</v>
      </c>
      <c r="F305" s="23">
        <f>MAX(F2:F304)</f>
        <v>1544</v>
      </c>
      <c r="G305" s="24"/>
      <c r="H305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8455-5B96-4962-9AE3-C7ED9CF65BCE}">
  <dimension ref="A1:F303"/>
  <sheetViews>
    <sheetView workbookViewId="0">
      <selection activeCell="Q29" sqref="Q29"/>
    </sheetView>
  </sheetViews>
  <sheetFormatPr defaultRowHeight="14.4" x14ac:dyDescent="0.3"/>
  <cols>
    <col min="1" max="1" width="10.109375" bestFit="1" customWidth="1"/>
  </cols>
  <sheetData>
    <row r="1" spans="1:6" ht="15" thickBot="1" x14ac:dyDescent="0.35">
      <c r="A1" s="26" t="s">
        <v>16</v>
      </c>
      <c r="B1" s="27" t="s">
        <v>17</v>
      </c>
      <c r="C1" s="27" t="s">
        <v>18</v>
      </c>
      <c r="D1" s="27" t="s">
        <v>19</v>
      </c>
      <c r="E1" s="27" t="s">
        <v>20</v>
      </c>
      <c r="F1" s="28" t="s">
        <v>21</v>
      </c>
    </row>
    <row r="2" spans="1:6" x14ac:dyDescent="0.3">
      <c r="A2" s="2">
        <v>44745</v>
      </c>
      <c r="B2" s="1">
        <v>1</v>
      </c>
      <c r="C2">
        <f>_xlfn.ISOWEEKNUM(A2)</f>
        <v>26</v>
      </c>
      <c r="D2">
        <f>MONTH(A2)</f>
        <v>7</v>
      </c>
      <c r="E2">
        <f>VLOOKUP([6]LDAU!C2,[6]LWAU!A:C,3,0)</f>
        <v>1</v>
      </c>
      <c r="F2" s="30">
        <f>VLOOKUP(D2,[6]LMAU!A:C,3,0)</f>
        <v>77</v>
      </c>
    </row>
    <row r="3" spans="1:6" x14ac:dyDescent="0.3">
      <c r="A3" s="2">
        <v>44746</v>
      </c>
      <c r="B3" s="1">
        <v>2</v>
      </c>
      <c r="C3">
        <f t="shared" ref="C3:C66" si="0">_xlfn.ISOWEEKNUM(A3)</f>
        <v>27</v>
      </c>
      <c r="D3">
        <f t="shared" ref="D3:D66" si="1">MONTH(A3)</f>
        <v>7</v>
      </c>
      <c r="E3">
        <f>VLOOKUP([6]LDAU!C3,[6]LWAU!A:C,3,0)</f>
        <v>21</v>
      </c>
      <c r="F3" s="30">
        <f>VLOOKUP(D3,[6]LMAU!A:C,3,0)</f>
        <v>77</v>
      </c>
    </row>
    <row r="4" spans="1:6" x14ac:dyDescent="0.3">
      <c r="A4" s="2">
        <v>44747</v>
      </c>
      <c r="B4" s="1">
        <v>5</v>
      </c>
      <c r="C4">
        <f t="shared" si="0"/>
        <v>27</v>
      </c>
      <c r="D4">
        <f t="shared" si="1"/>
        <v>7</v>
      </c>
      <c r="E4">
        <f>VLOOKUP([6]LDAU!C4,[6]LWAU!A:C,3,0)</f>
        <v>21</v>
      </c>
      <c r="F4" s="30">
        <f>VLOOKUP(D4,[6]LMAU!A:C,3,0)</f>
        <v>77</v>
      </c>
    </row>
    <row r="5" spans="1:6" x14ac:dyDescent="0.3">
      <c r="A5" s="2">
        <v>44748</v>
      </c>
      <c r="B5" s="1">
        <v>1</v>
      </c>
      <c r="C5">
        <f t="shared" si="0"/>
        <v>27</v>
      </c>
      <c r="D5">
        <f t="shared" si="1"/>
        <v>7</v>
      </c>
      <c r="E5">
        <f>VLOOKUP([6]LDAU!C5,[6]LWAU!A:C,3,0)</f>
        <v>21</v>
      </c>
      <c r="F5" s="30">
        <f>VLOOKUP(D5,[6]LMAU!A:C,3,0)</f>
        <v>77</v>
      </c>
    </row>
    <row r="6" spans="1:6" x14ac:dyDescent="0.3">
      <c r="A6" s="2">
        <v>44749</v>
      </c>
      <c r="B6" s="1">
        <v>5</v>
      </c>
      <c r="C6">
        <f t="shared" si="0"/>
        <v>27</v>
      </c>
      <c r="D6">
        <f t="shared" si="1"/>
        <v>7</v>
      </c>
      <c r="E6">
        <f>VLOOKUP([6]LDAU!C6,[6]LWAU!A:C,3,0)</f>
        <v>21</v>
      </c>
      <c r="F6" s="30">
        <f>VLOOKUP(D6,[6]LMAU!A:C,3,0)</f>
        <v>77</v>
      </c>
    </row>
    <row r="7" spans="1:6" x14ac:dyDescent="0.3">
      <c r="A7" s="2">
        <v>44750</v>
      </c>
      <c r="B7" s="1">
        <v>6</v>
      </c>
      <c r="C7">
        <f t="shared" si="0"/>
        <v>27</v>
      </c>
      <c r="D7">
        <f t="shared" si="1"/>
        <v>7</v>
      </c>
      <c r="E7">
        <f>VLOOKUP([6]LDAU!C7,[6]LWAU!A:C,3,0)</f>
        <v>21</v>
      </c>
      <c r="F7" s="30">
        <f>VLOOKUP(D7,[6]LMAU!A:C,3,0)</f>
        <v>77</v>
      </c>
    </row>
    <row r="8" spans="1:6" x14ac:dyDescent="0.3">
      <c r="A8" s="2">
        <v>44751</v>
      </c>
      <c r="B8" s="1">
        <v>10</v>
      </c>
      <c r="C8">
        <f t="shared" si="0"/>
        <v>27</v>
      </c>
      <c r="D8">
        <f t="shared" si="1"/>
        <v>7</v>
      </c>
      <c r="E8">
        <f>VLOOKUP([6]LDAU!C8,[6]LWAU!A:C,3,0)</f>
        <v>21</v>
      </c>
      <c r="F8" s="30">
        <f>VLOOKUP(D8,[6]LMAU!A:C,3,0)</f>
        <v>77</v>
      </c>
    </row>
    <row r="9" spans="1:6" x14ac:dyDescent="0.3">
      <c r="A9" s="2">
        <v>44752</v>
      </c>
      <c r="B9" s="1">
        <v>9</v>
      </c>
      <c r="C9">
        <f t="shared" si="0"/>
        <v>27</v>
      </c>
      <c r="D9">
        <f t="shared" si="1"/>
        <v>7</v>
      </c>
      <c r="E9">
        <f>VLOOKUP([6]LDAU!C9,[6]LWAU!A:C,3,0)</f>
        <v>21</v>
      </c>
      <c r="F9" s="30">
        <f>VLOOKUP(D9,[6]LMAU!A:C,3,0)</f>
        <v>77</v>
      </c>
    </row>
    <row r="10" spans="1:6" x14ac:dyDescent="0.3">
      <c r="A10" s="2">
        <v>44753</v>
      </c>
      <c r="B10" s="1">
        <v>5</v>
      </c>
      <c r="C10">
        <f t="shared" si="0"/>
        <v>28</v>
      </c>
      <c r="D10">
        <f t="shared" si="1"/>
        <v>7</v>
      </c>
      <c r="E10">
        <f>VLOOKUP([6]LDAU!C10,[6]LWAU!A:C,3,0)</f>
        <v>31</v>
      </c>
      <c r="F10" s="30">
        <f>VLOOKUP(D10,[6]LMAU!A:C,3,0)</f>
        <v>77</v>
      </c>
    </row>
    <row r="11" spans="1:6" x14ac:dyDescent="0.3">
      <c r="A11" s="2">
        <v>44754</v>
      </c>
      <c r="B11" s="1">
        <v>7</v>
      </c>
      <c r="C11">
        <f t="shared" si="0"/>
        <v>28</v>
      </c>
      <c r="D11">
        <f t="shared" si="1"/>
        <v>7</v>
      </c>
      <c r="E11">
        <f>VLOOKUP([6]LDAU!C11,[6]LWAU!A:C,3,0)</f>
        <v>31</v>
      </c>
      <c r="F11" s="30">
        <f>VLOOKUP(D11,[6]LMAU!A:C,3,0)</f>
        <v>77</v>
      </c>
    </row>
    <row r="12" spans="1:6" x14ac:dyDescent="0.3">
      <c r="A12" s="2">
        <v>44755</v>
      </c>
      <c r="B12" s="1">
        <v>11</v>
      </c>
      <c r="C12">
        <f t="shared" si="0"/>
        <v>28</v>
      </c>
      <c r="D12">
        <f t="shared" si="1"/>
        <v>7</v>
      </c>
      <c r="E12">
        <f>VLOOKUP([6]LDAU!C12,[6]LWAU!A:C,3,0)</f>
        <v>31</v>
      </c>
      <c r="F12" s="30">
        <f>VLOOKUP(D12,[6]LMAU!A:C,3,0)</f>
        <v>77</v>
      </c>
    </row>
    <row r="13" spans="1:6" x14ac:dyDescent="0.3">
      <c r="A13" s="2">
        <v>44756</v>
      </c>
      <c r="B13" s="1">
        <v>9</v>
      </c>
      <c r="C13">
        <f t="shared" si="0"/>
        <v>28</v>
      </c>
      <c r="D13">
        <f t="shared" si="1"/>
        <v>7</v>
      </c>
      <c r="E13">
        <f>VLOOKUP([6]LDAU!C13,[6]LWAU!A:C,3,0)</f>
        <v>31</v>
      </c>
      <c r="F13" s="30">
        <f>VLOOKUP(D13,[6]LMAU!A:C,3,0)</f>
        <v>77</v>
      </c>
    </row>
    <row r="14" spans="1:6" x14ac:dyDescent="0.3">
      <c r="A14" s="2">
        <v>44757</v>
      </c>
      <c r="B14" s="1">
        <v>7</v>
      </c>
      <c r="C14">
        <f t="shared" si="0"/>
        <v>28</v>
      </c>
      <c r="D14">
        <f t="shared" si="1"/>
        <v>7</v>
      </c>
      <c r="E14">
        <f>VLOOKUP([6]LDAU!C14,[6]LWAU!A:C,3,0)</f>
        <v>31</v>
      </c>
      <c r="F14" s="30">
        <f>VLOOKUP(D14,[6]LMAU!A:C,3,0)</f>
        <v>77</v>
      </c>
    </row>
    <row r="15" spans="1:6" x14ac:dyDescent="0.3">
      <c r="A15" s="2">
        <v>44758</v>
      </c>
      <c r="B15" s="1">
        <v>14</v>
      </c>
      <c r="C15">
        <f t="shared" si="0"/>
        <v>28</v>
      </c>
      <c r="D15">
        <f t="shared" si="1"/>
        <v>7</v>
      </c>
      <c r="E15">
        <f>VLOOKUP([6]LDAU!C15,[6]LWAU!A:C,3,0)</f>
        <v>31</v>
      </c>
      <c r="F15" s="30">
        <f>VLOOKUP(D15,[6]LMAU!A:C,3,0)</f>
        <v>77</v>
      </c>
    </row>
    <row r="16" spans="1:6" x14ac:dyDescent="0.3">
      <c r="A16" s="2">
        <v>44759</v>
      </c>
      <c r="B16" s="1">
        <v>16</v>
      </c>
      <c r="C16">
        <f t="shared" si="0"/>
        <v>28</v>
      </c>
      <c r="D16">
        <f t="shared" si="1"/>
        <v>7</v>
      </c>
      <c r="E16">
        <f>VLOOKUP([6]LDAU!C16,[6]LWAU!A:C,3,0)</f>
        <v>31</v>
      </c>
      <c r="F16" s="30">
        <f>VLOOKUP(D16,[6]LMAU!A:C,3,0)</f>
        <v>77</v>
      </c>
    </row>
    <row r="17" spans="1:6" x14ac:dyDescent="0.3">
      <c r="A17" s="2">
        <v>44760</v>
      </c>
      <c r="B17" s="1">
        <v>9</v>
      </c>
      <c r="C17">
        <f t="shared" si="0"/>
        <v>29</v>
      </c>
      <c r="D17">
        <f t="shared" si="1"/>
        <v>7</v>
      </c>
      <c r="E17">
        <f>VLOOKUP([6]LDAU!C17,[6]LWAU!A:C,3,0)</f>
        <v>49</v>
      </c>
      <c r="F17" s="30">
        <f>VLOOKUP(D17,[6]LMAU!A:C,3,0)</f>
        <v>77</v>
      </c>
    </row>
    <row r="18" spans="1:6" x14ac:dyDescent="0.3">
      <c r="A18" s="2">
        <v>44761</v>
      </c>
      <c r="B18" s="1">
        <v>12</v>
      </c>
      <c r="C18">
        <f t="shared" si="0"/>
        <v>29</v>
      </c>
      <c r="D18">
        <f t="shared" si="1"/>
        <v>7</v>
      </c>
      <c r="E18">
        <f>VLOOKUP([6]LDAU!C18,[6]LWAU!A:C,3,0)</f>
        <v>49</v>
      </c>
      <c r="F18" s="30">
        <f>VLOOKUP(D18,[6]LMAU!A:C,3,0)</f>
        <v>77</v>
      </c>
    </row>
    <row r="19" spans="1:6" x14ac:dyDescent="0.3">
      <c r="A19" s="2">
        <v>44762</v>
      </c>
      <c r="B19" s="1">
        <v>11</v>
      </c>
      <c r="C19">
        <f t="shared" si="0"/>
        <v>29</v>
      </c>
      <c r="D19">
        <f t="shared" si="1"/>
        <v>7</v>
      </c>
      <c r="E19">
        <f>VLOOKUP([6]LDAU!C19,[6]LWAU!A:C,3,0)</f>
        <v>49</v>
      </c>
      <c r="F19" s="30">
        <f>VLOOKUP(D19,[6]LMAU!A:C,3,0)</f>
        <v>77</v>
      </c>
    </row>
    <row r="20" spans="1:6" x14ac:dyDescent="0.3">
      <c r="A20" s="2">
        <v>44763</v>
      </c>
      <c r="B20" s="1">
        <v>18</v>
      </c>
      <c r="C20">
        <f t="shared" si="0"/>
        <v>29</v>
      </c>
      <c r="D20">
        <f t="shared" si="1"/>
        <v>7</v>
      </c>
      <c r="E20">
        <f>VLOOKUP([6]LDAU!C20,[6]LWAU!A:C,3,0)</f>
        <v>49</v>
      </c>
      <c r="F20" s="30">
        <f>VLOOKUP(D20,[6]LMAU!A:C,3,0)</f>
        <v>77</v>
      </c>
    </row>
    <row r="21" spans="1:6" x14ac:dyDescent="0.3">
      <c r="A21" s="2">
        <v>44764</v>
      </c>
      <c r="B21" s="1">
        <v>15</v>
      </c>
      <c r="C21">
        <f t="shared" si="0"/>
        <v>29</v>
      </c>
      <c r="D21">
        <f t="shared" si="1"/>
        <v>7</v>
      </c>
      <c r="E21">
        <f>VLOOKUP([6]LDAU!C21,[6]LWAU!A:C,3,0)</f>
        <v>49</v>
      </c>
      <c r="F21" s="30">
        <f>VLOOKUP(D21,[6]LMAU!A:C,3,0)</f>
        <v>77</v>
      </c>
    </row>
    <row r="22" spans="1:6" x14ac:dyDescent="0.3">
      <c r="A22" s="2">
        <v>44765</v>
      </c>
      <c r="B22" s="1">
        <v>18</v>
      </c>
      <c r="C22">
        <f t="shared" si="0"/>
        <v>29</v>
      </c>
      <c r="D22">
        <f t="shared" si="1"/>
        <v>7</v>
      </c>
      <c r="E22">
        <f>VLOOKUP([6]LDAU!C22,[6]LWAU!A:C,3,0)</f>
        <v>49</v>
      </c>
      <c r="F22" s="30">
        <f>VLOOKUP(D22,[6]LMAU!A:C,3,0)</f>
        <v>77</v>
      </c>
    </row>
    <row r="23" spans="1:6" x14ac:dyDescent="0.3">
      <c r="A23" s="2">
        <v>44766</v>
      </c>
      <c r="B23" s="1">
        <v>18</v>
      </c>
      <c r="C23">
        <f t="shared" si="0"/>
        <v>29</v>
      </c>
      <c r="D23">
        <f t="shared" si="1"/>
        <v>7</v>
      </c>
      <c r="E23">
        <f>VLOOKUP([6]LDAU!C23,[6]LWAU!A:C,3,0)</f>
        <v>49</v>
      </c>
      <c r="F23" s="30">
        <f>VLOOKUP(D23,[6]LMAU!A:C,3,0)</f>
        <v>77</v>
      </c>
    </row>
    <row r="24" spans="1:6" x14ac:dyDescent="0.3">
      <c r="A24" s="2">
        <v>44767</v>
      </c>
      <c r="B24" s="1">
        <v>25</v>
      </c>
      <c r="C24">
        <f t="shared" si="0"/>
        <v>30</v>
      </c>
      <c r="D24">
        <f t="shared" si="1"/>
        <v>7</v>
      </c>
      <c r="E24">
        <f>VLOOKUP([6]LDAU!C24,[6]LWAU!A:C,3,0)</f>
        <v>73</v>
      </c>
      <c r="F24" s="30">
        <f>VLOOKUP(D24,[6]LMAU!A:C,3,0)</f>
        <v>77</v>
      </c>
    </row>
    <row r="25" spans="1:6" x14ac:dyDescent="0.3">
      <c r="A25" s="2">
        <v>44768</v>
      </c>
      <c r="B25" s="1">
        <v>18</v>
      </c>
      <c r="C25">
        <f t="shared" si="0"/>
        <v>30</v>
      </c>
      <c r="D25">
        <f t="shared" si="1"/>
        <v>7</v>
      </c>
      <c r="E25">
        <f>VLOOKUP([6]LDAU!C25,[6]LWAU!A:C,3,0)</f>
        <v>73</v>
      </c>
      <c r="F25" s="30">
        <f>VLOOKUP(D25,[6]LMAU!A:C,3,0)</f>
        <v>77</v>
      </c>
    </row>
    <row r="26" spans="1:6" x14ac:dyDescent="0.3">
      <c r="A26" s="2">
        <v>44769</v>
      </c>
      <c r="B26" s="1">
        <v>17</v>
      </c>
      <c r="C26">
        <f t="shared" si="0"/>
        <v>30</v>
      </c>
      <c r="D26">
        <f t="shared" si="1"/>
        <v>7</v>
      </c>
      <c r="E26">
        <f>VLOOKUP([6]LDAU!C26,[6]LWAU!A:C,3,0)</f>
        <v>73</v>
      </c>
      <c r="F26" s="30">
        <f>VLOOKUP(D26,[6]LMAU!A:C,3,0)</f>
        <v>77</v>
      </c>
    </row>
    <row r="27" spans="1:6" x14ac:dyDescent="0.3">
      <c r="A27" s="2">
        <v>44770</v>
      </c>
      <c r="B27" s="1">
        <v>28</v>
      </c>
      <c r="C27">
        <f t="shared" si="0"/>
        <v>30</v>
      </c>
      <c r="D27">
        <f t="shared" si="1"/>
        <v>7</v>
      </c>
      <c r="E27">
        <f>VLOOKUP([6]LDAU!C27,[6]LWAU!A:C,3,0)</f>
        <v>73</v>
      </c>
      <c r="F27" s="30">
        <f>VLOOKUP(D27,[6]LMAU!A:C,3,0)</f>
        <v>77</v>
      </c>
    </row>
    <row r="28" spans="1:6" x14ac:dyDescent="0.3">
      <c r="A28" s="2">
        <v>44771</v>
      </c>
      <c r="B28" s="1">
        <v>25</v>
      </c>
      <c r="C28">
        <f t="shared" si="0"/>
        <v>30</v>
      </c>
      <c r="D28">
        <f t="shared" si="1"/>
        <v>7</v>
      </c>
      <c r="E28">
        <f>VLOOKUP([6]LDAU!C28,[6]LWAU!A:C,3,0)</f>
        <v>73</v>
      </c>
      <c r="F28" s="30">
        <f>VLOOKUP(D28,[6]LMAU!A:C,3,0)</f>
        <v>77</v>
      </c>
    </row>
    <row r="29" spans="1:6" x14ac:dyDescent="0.3">
      <c r="A29" s="2">
        <v>44772</v>
      </c>
      <c r="B29" s="1">
        <v>26</v>
      </c>
      <c r="C29">
        <f t="shared" si="0"/>
        <v>30</v>
      </c>
      <c r="D29">
        <f t="shared" si="1"/>
        <v>7</v>
      </c>
      <c r="E29">
        <f>VLOOKUP([6]LDAU!C29,[6]LWAU!A:C,3,0)</f>
        <v>73</v>
      </c>
      <c r="F29" s="30">
        <f>VLOOKUP(D29,[6]LMAU!A:C,3,0)</f>
        <v>77</v>
      </c>
    </row>
    <row r="30" spans="1:6" x14ac:dyDescent="0.3">
      <c r="A30" s="2">
        <v>44773</v>
      </c>
      <c r="B30" s="1">
        <v>27</v>
      </c>
      <c r="C30">
        <f t="shared" si="0"/>
        <v>30</v>
      </c>
      <c r="D30">
        <f t="shared" si="1"/>
        <v>7</v>
      </c>
      <c r="E30">
        <f>VLOOKUP([6]LDAU!C30,[6]LWAU!A:C,3,0)</f>
        <v>73</v>
      </c>
      <c r="F30" s="30">
        <f>VLOOKUP(D30,[6]LMAU!A:C,3,0)</f>
        <v>77</v>
      </c>
    </row>
    <row r="31" spans="1:6" x14ac:dyDescent="0.3">
      <c r="A31" s="2">
        <v>44774</v>
      </c>
      <c r="B31" s="1">
        <v>13</v>
      </c>
      <c r="C31">
        <f t="shared" si="0"/>
        <v>31</v>
      </c>
      <c r="D31">
        <f t="shared" si="1"/>
        <v>8</v>
      </c>
      <c r="E31">
        <f>VLOOKUP([6]LDAU!C31,[6]LWAU!A:C,3,0)</f>
        <v>85</v>
      </c>
      <c r="F31" s="30">
        <f>VLOOKUP(D31,[6]LMAU!A:C,3,0)</f>
        <v>148</v>
      </c>
    </row>
    <row r="32" spans="1:6" x14ac:dyDescent="0.3">
      <c r="A32" s="2">
        <v>44775</v>
      </c>
      <c r="B32" s="1">
        <v>25</v>
      </c>
      <c r="C32">
        <f t="shared" si="0"/>
        <v>31</v>
      </c>
      <c r="D32">
        <f t="shared" si="1"/>
        <v>8</v>
      </c>
      <c r="E32">
        <f>VLOOKUP([6]LDAU!C32,[6]LWAU!A:C,3,0)</f>
        <v>85</v>
      </c>
      <c r="F32" s="30">
        <f>VLOOKUP(D32,[6]LMAU!A:C,3,0)</f>
        <v>148</v>
      </c>
    </row>
    <row r="33" spans="1:6" x14ac:dyDescent="0.3">
      <c r="A33" s="2">
        <v>44776</v>
      </c>
      <c r="B33" s="1">
        <v>26</v>
      </c>
      <c r="C33">
        <f t="shared" si="0"/>
        <v>31</v>
      </c>
      <c r="D33">
        <f t="shared" si="1"/>
        <v>8</v>
      </c>
      <c r="E33">
        <f>VLOOKUP([6]LDAU!C33,[6]LWAU!A:C,3,0)</f>
        <v>85</v>
      </c>
      <c r="F33" s="30">
        <f>VLOOKUP(D33,[6]LMAU!A:C,3,0)</f>
        <v>148</v>
      </c>
    </row>
    <row r="34" spans="1:6" x14ac:dyDescent="0.3">
      <c r="A34" s="2">
        <v>44777</v>
      </c>
      <c r="B34" s="1">
        <v>26</v>
      </c>
      <c r="C34">
        <f t="shared" si="0"/>
        <v>31</v>
      </c>
      <c r="D34">
        <f t="shared" si="1"/>
        <v>8</v>
      </c>
      <c r="E34">
        <f>VLOOKUP([6]LDAU!C34,[6]LWAU!A:C,3,0)</f>
        <v>85</v>
      </c>
      <c r="F34" s="30">
        <f>VLOOKUP(D34,[6]LMAU!A:C,3,0)</f>
        <v>148</v>
      </c>
    </row>
    <row r="35" spans="1:6" x14ac:dyDescent="0.3">
      <c r="A35" s="2">
        <v>44778</v>
      </c>
      <c r="B35" s="1">
        <v>27</v>
      </c>
      <c r="C35">
        <f t="shared" si="0"/>
        <v>31</v>
      </c>
      <c r="D35">
        <f t="shared" si="1"/>
        <v>8</v>
      </c>
      <c r="E35">
        <f>VLOOKUP([6]LDAU!C35,[6]LWAU!A:C,3,0)</f>
        <v>85</v>
      </c>
      <c r="F35" s="30">
        <f>VLOOKUP(D35,[6]LMAU!A:C,3,0)</f>
        <v>148</v>
      </c>
    </row>
    <row r="36" spans="1:6" x14ac:dyDescent="0.3">
      <c r="A36" s="2">
        <v>44779</v>
      </c>
      <c r="B36" s="1">
        <v>30</v>
      </c>
      <c r="C36">
        <f t="shared" si="0"/>
        <v>31</v>
      </c>
      <c r="D36">
        <f t="shared" si="1"/>
        <v>8</v>
      </c>
      <c r="E36">
        <f>VLOOKUP([6]LDAU!C36,[6]LWAU!A:C,3,0)</f>
        <v>85</v>
      </c>
      <c r="F36" s="30">
        <f>VLOOKUP(D36,[6]LMAU!A:C,3,0)</f>
        <v>148</v>
      </c>
    </row>
    <row r="37" spans="1:6" x14ac:dyDescent="0.3">
      <c r="A37" s="2">
        <v>44780</v>
      </c>
      <c r="B37" s="1">
        <v>24</v>
      </c>
      <c r="C37">
        <f t="shared" si="0"/>
        <v>31</v>
      </c>
      <c r="D37">
        <f t="shared" si="1"/>
        <v>8</v>
      </c>
      <c r="E37">
        <f>VLOOKUP([6]LDAU!C37,[6]LWAU!A:C,3,0)</f>
        <v>85</v>
      </c>
      <c r="F37" s="30">
        <f>VLOOKUP(D37,[6]LMAU!A:C,3,0)</f>
        <v>148</v>
      </c>
    </row>
    <row r="38" spans="1:6" x14ac:dyDescent="0.3">
      <c r="A38" s="2">
        <v>44781</v>
      </c>
      <c r="B38" s="1">
        <v>26</v>
      </c>
      <c r="C38">
        <f t="shared" si="0"/>
        <v>32</v>
      </c>
      <c r="D38">
        <f t="shared" si="1"/>
        <v>8</v>
      </c>
      <c r="E38">
        <f>VLOOKUP([6]LDAU!C38,[6]LWAU!A:C,3,0)</f>
        <v>79</v>
      </c>
      <c r="F38" s="30">
        <f>VLOOKUP(D38,[6]LMAU!A:C,3,0)</f>
        <v>148</v>
      </c>
    </row>
    <row r="39" spans="1:6" x14ac:dyDescent="0.3">
      <c r="A39" s="2">
        <v>44782</v>
      </c>
      <c r="B39" s="1">
        <v>23</v>
      </c>
      <c r="C39">
        <f t="shared" si="0"/>
        <v>32</v>
      </c>
      <c r="D39">
        <f t="shared" si="1"/>
        <v>8</v>
      </c>
      <c r="E39">
        <f>VLOOKUP([6]LDAU!C39,[6]LWAU!A:C,3,0)</f>
        <v>79</v>
      </c>
      <c r="F39" s="30">
        <f>VLOOKUP(D39,[6]LMAU!A:C,3,0)</f>
        <v>148</v>
      </c>
    </row>
    <row r="40" spans="1:6" x14ac:dyDescent="0.3">
      <c r="A40" s="2">
        <v>44783</v>
      </c>
      <c r="B40" s="1">
        <v>24</v>
      </c>
      <c r="C40">
        <f t="shared" si="0"/>
        <v>32</v>
      </c>
      <c r="D40">
        <f t="shared" si="1"/>
        <v>8</v>
      </c>
      <c r="E40">
        <f>VLOOKUP([6]LDAU!C40,[6]LWAU!A:C,3,0)</f>
        <v>79</v>
      </c>
      <c r="F40" s="30">
        <f>VLOOKUP(D40,[6]LMAU!A:C,3,0)</f>
        <v>148</v>
      </c>
    </row>
    <row r="41" spans="1:6" x14ac:dyDescent="0.3">
      <c r="A41" s="2">
        <v>44784</v>
      </c>
      <c r="B41" s="1">
        <v>31</v>
      </c>
      <c r="C41">
        <f t="shared" si="0"/>
        <v>32</v>
      </c>
      <c r="D41">
        <f t="shared" si="1"/>
        <v>8</v>
      </c>
      <c r="E41">
        <f>VLOOKUP([6]LDAU!C41,[6]LWAU!A:C,3,0)</f>
        <v>79</v>
      </c>
      <c r="F41" s="30">
        <f>VLOOKUP(D41,[6]LMAU!A:C,3,0)</f>
        <v>148</v>
      </c>
    </row>
    <row r="42" spans="1:6" x14ac:dyDescent="0.3">
      <c r="A42" s="2">
        <v>44785</v>
      </c>
      <c r="B42" s="1">
        <v>30</v>
      </c>
      <c r="C42">
        <f t="shared" si="0"/>
        <v>32</v>
      </c>
      <c r="D42">
        <f t="shared" si="1"/>
        <v>8</v>
      </c>
      <c r="E42">
        <f>VLOOKUP([6]LDAU!C42,[6]LWAU!A:C,3,0)</f>
        <v>79</v>
      </c>
      <c r="F42" s="30">
        <f>VLOOKUP(D42,[6]LMAU!A:C,3,0)</f>
        <v>148</v>
      </c>
    </row>
    <row r="43" spans="1:6" x14ac:dyDescent="0.3">
      <c r="A43" s="2">
        <v>44786</v>
      </c>
      <c r="B43" s="1">
        <v>25</v>
      </c>
      <c r="C43">
        <f t="shared" si="0"/>
        <v>32</v>
      </c>
      <c r="D43">
        <f t="shared" si="1"/>
        <v>8</v>
      </c>
      <c r="E43">
        <f>VLOOKUP([6]LDAU!C43,[6]LWAU!A:C,3,0)</f>
        <v>79</v>
      </c>
      <c r="F43" s="30">
        <f>VLOOKUP(D43,[6]LMAU!A:C,3,0)</f>
        <v>148</v>
      </c>
    </row>
    <row r="44" spans="1:6" x14ac:dyDescent="0.3">
      <c r="A44" s="2">
        <v>44787</v>
      </c>
      <c r="B44" s="1">
        <v>21</v>
      </c>
      <c r="C44">
        <f t="shared" si="0"/>
        <v>32</v>
      </c>
      <c r="D44">
        <f t="shared" si="1"/>
        <v>8</v>
      </c>
      <c r="E44">
        <f>VLOOKUP([6]LDAU!C44,[6]LWAU!A:C,3,0)</f>
        <v>79</v>
      </c>
      <c r="F44" s="30">
        <f>VLOOKUP(D44,[6]LMAU!A:C,3,0)</f>
        <v>148</v>
      </c>
    </row>
    <row r="45" spans="1:6" x14ac:dyDescent="0.3">
      <c r="A45" s="2">
        <v>44788</v>
      </c>
      <c r="B45" s="1">
        <v>22</v>
      </c>
      <c r="C45">
        <f t="shared" si="0"/>
        <v>33</v>
      </c>
      <c r="D45">
        <f t="shared" si="1"/>
        <v>8</v>
      </c>
      <c r="E45">
        <f>VLOOKUP([6]LDAU!C45,[6]LWAU!A:C,3,0)</f>
        <v>88</v>
      </c>
      <c r="F45" s="30">
        <f>VLOOKUP(D45,[6]LMAU!A:C,3,0)</f>
        <v>148</v>
      </c>
    </row>
    <row r="46" spans="1:6" x14ac:dyDescent="0.3">
      <c r="A46" s="2">
        <v>44789</v>
      </c>
      <c r="B46" s="1">
        <v>23</v>
      </c>
      <c r="C46">
        <f t="shared" si="0"/>
        <v>33</v>
      </c>
      <c r="D46">
        <f t="shared" si="1"/>
        <v>8</v>
      </c>
      <c r="E46">
        <f>VLOOKUP([6]LDAU!C46,[6]LWAU!A:C,3,0)</f>
        <v>88</v>
      </c>
      <c r="F46" s="30">
        <f>VLOOKUP(D46,[6]LMAU!A:C,3,0)</f>
        <v>148</v>
      </c>
    </row>
    <row r="47" spans="1:6" x14ac:dyDescent="0.3">
      <c r="A47" s="2">
        <v>44790</v>
      </c>
      <c r="B47" s="1">
        <v>23</v>
      </c>
      <c r="C47">
        <f t="shared" si="0"/>
        <v>33</v>
      </c>
      <c r="D47">
        <f t="shared" si="1"/>
        <v>8</v>
      </c>
      <c r="E47">
        <f>VLOOKUP([6]LDAU!C47,[6]LWAU!A:C,3,0)</f>
        <v>88</v>
      </c>
      <c r="F47" s="30">
        <f>VLOOKUP(D47,[6]LMAU!A:C,3,0)</f>
        <v>148</v>
      </c>
    </row>
    <row r="48" spans="1:6" x14ac:dyDescent="0.3">
      <c r="A48" s="2">
        <v>44791</v>
      </c>
      <c r="B48" s="1">
        <v>26</v>
      </c>
      <c r="C48">
        <f t="shared" si="0"/>
        <v>33</v>
      </c>
      <c r="D48">
        <f t="shared" si="1"/>
        <v>8</v>
      </c>
      <c r="E48">
        <f>VLOOKUP([6]LDAU!C48,[6]LWAU!A:C,3,0)</f>
        <v>88</v>
      </c>
      <c r="F48" s="30">
        <f>VLOOKUP(D48,[6]LMAU!A:C,3,0)</f>
        <v>148</v>
      </c>
    </row>
    <row r="49" spans="1:6" x14ac:dyDescent="0.3">
      <c r="A49" s="2">
        <v>44792</v>
      </c>
      <c r="B49" s="1">
        <v>32</v>
      </c>
      <c r="C49">
        <f t="shared" si="0"/>
        <v>33</v>
      </c>
      <c r="D49">
        <f t="shared" si="1"/>
        <v>8</v>
      </c>
      <c r="E49">
        <f>VLOOKUP([6]LDAU!C49,[6]LWAU!A:C,3,0)</f>
        <v>88</v>
      </c>
      <c r="F49" s="30">
        <f>VLOOKUP(D49,[6]LMAU!A:C,3,0)</f>
        <v>148</v>
      </c>
    </row>
    <row r="50" spans="1:6" x14ac:dyDescent="0.3">
      <c r="A50" s="2">
        <v>44793</v>
      </c>
      <c r="B50" s="1">
        <v>31</v>
      </c>
      <c r="C50">
        <f t="shared" si="0"/>
        <v>33</v>
      </c>
      <c r="D50">
        <f t="shared" si="1"/>
        <v>8</v>
      </c>
      <c r="E50">
        <f>VLOOKUP([6]LDAU!C50,[6]LWAU!A:C,3,0)</f>
        <v>88</v>
      </c>
      <c r="F50" s="30">
        <f>VLOOKUP(D50,[6]LMAU!A:C,3,0)</f>
        <v>148</v>
      </c>
    </row>
    <row r="51" spans="1:6" x14ac:dyDescent="0.3">
      <c r="A51" s="2">
        <v>44794</v>
      </c>
      <c r="B51" s="1">
        <v>30</v>
      </c>
      <c r="C51">
        <f t="shared" si="0"/>
        <v>33</v>
      </c>
      <c r="D51">
        <f t="shared" si="1"/>
        <v>8</v>
      </c>
      <c r="E51">
        <f>VLOOKUP([6]LDAU!C51,[6]LWAU!A:C,3,0)</f>
        <v>88</v>
      </c>
      <c r="F51" s="30">
        <f>VLOOKUP(D51,[6]LMAU!A:C,3,0)</f>
        <v>148</v>
      </c>
    </row>
    <row r="52" spans="1:6" x14ac:dyDescent="0.3">
      <c r="A52" s="2">
        <v>44795</v>
      </c>
      <c r="B52" s="1">
        <v>19</v>
      </c>
      <c r="C52">
        <f t="shared" si="0"/>
        <v>34</v>
      </c>
      <c r="D52">
        <f t="shared" si="1"/>
        <v>8</v>
      </c>
      <c r="E52">
        <f>VLOOKUP([6]LDAU!C52,[6]LWAU!A:C,3,0)</f>
        <v>88</v>
      </c>
      <c r="F52" s="30">
        <f>VLOOKUP(D52,[6]LMAU!A:C,3,0)</f>
        <v>148</v>
      </c>
    </row>
    <row r="53" spans="1:6" x14ac:dyDescent="0.3">
      <c r="A53" s="2">
        <v>44796</v>
      </c>
      <c r="B53" s="1">
        <v>28</v>
      </c>
      <c r="C53">
        <f t="shared" si="0"/>
        <v>34</v>
      </c>
      <c r="D53">
        <f t="shared" si="1"/>
        <v>8</v>
      </c>
      <c r="E53">
        <f>VLOOKUP([6]LDAU!C53,[6]LWAU!A:C,3,0)</f>
        <v>88</v>
      </c>
      <c r="F53" s="30">
        <f>VLOOKUP(D53,[6]LMAU!A:C,3,0)</f>
        <v>148</v>
      </c>
    </row>
    <row r="54" spans="1:6" x14ac:dyDescent="0.3">
      <c r="A54" s="2">
        <v>44797</v>
      </c>
      <c r="B54" s="1">
        <v>30</v>
      </c>
      <c r="C54">
        <f t="shared" si="0"/>
        <v>34</v>
      </c>
      <c r="D54">
        <f t="shared" si="1"/>
        <v>8</v>
      </c>
      <c r="E54">
        <f>VLOOKUP([6]LDAU!C54,[6]LWAU!A:C,3,0)</f>
        <v>88</v>
      </c>
      <c r="F54" s="30">
        <f>VLOOKUP(D54,[6]LMAU!A:C,3,0)</f>
        <v>148</v>
      </c>
    </row>
    <row r="55" spans="1:6" x14ac:dyDescent="0.3">
      <c r="A55" s="2">
        <v>44798</v>
      </c>
      <c r="B55" s="1">
        <v>27</v>
      </c>
      <c r="C55">
        <f t="shared" si="0"/>
        <v>34</v>
      </c>
      <c r="D55">
        <f t="shared" si="1"/>
        <v>8</v>
      </c>
      <c r="E55">
        <f>VLOOKUP([6]LDAU!C55,[6]LWAU!A:C,3,0)</f>
        <v>88</v>
      </c>
      <c r="F55" s="30">
        <f>VLOOKUP(D55,[6]LMAU!A:C,3,0)</f>
        <v>148</v>
      </c>
    </row>
    <row r="56" spans="1:6" x14ac:dyDescent="0.3">
      <c r="A56" s="2">
        <v>44799</v>
      </c>
      <c r="B56" s="1">
        <v>25</v>
      </c>
      <c r="C56">
        <f t="shared" si="0"/>
        <v>34</v>
      </c>
      <c r="D56">
        <f t="shared" si="1"/>
        <v>8</v>
      </c>
      <c r="E56">
        <f>VLOOKUP([6]LDAU!C56,[6]LWAU!A:C,3,0)</f>
        <v>88</v>
      </c>
      <c r="F56" s="30">
        <f>VLOOKUP(D56,[6]LMAU!A:C,3,0)</f>
        <v>148</v>
      </c>
    </row>
    <row r="57" spans="1:6" x14ac:dyDescent="0.3">
      <c r="A57" s="2">
        <v>44800</v>
      </c>
      <c r="B57" s="1">
        <v>30</v>
      </c>
      <c r="C57">
        <f t="shared" si="0"/>
        <v>34</v>
      </c>
      <c r="D57">
        <f t="shared" si="1"/>
        <v>8</v>
      </c>
      <c r="E57">
        <f>VLOOKUP([6]LDAU!C57,[6]LWAU!A:C,3,0)</f>
        <v>88</v>
      </c>
      <c r="F57" s="30">
        <f>VLOOKUP(D57,[6]LMAU!A:C,3,0)</f>
        <v>148</v>
      </c>
    </row>
    <row r="58" spans="1:6" x14ac:dyDescent="0.3">
      <c r="A58" s="2">
        <v>44801</v>
      </c>
      <c r="B58" s="1">
        <v>26</v>
      </c>
      <c r="C58">
        <f t="shared" si="0"/>
        <v>34</v>
      </c>
      <c r="D58">
        <f t="shared" si="1"/>
        <v>8</v>
      </c>
      <c r="E58">
        <f>VLOOKUP([6]LDAU!C58,[6]LWAU!A:C,3,0)</f>
        <v>88</v>
      </c>
      <c r="F58" s="30">
        <f>VLOOKUP(D58,[6]LMAU!A:C,3,0)</f>
        <v>148</v>
      </c>
    </row>
    <row r="59" spans="1:6" x14ac:dyDescent="0.3">
      <c r="A59" s="2">
        <v>44802</v>
      </c>
      <c r="B59" s="1">
        <v>21</v>
      </c>
      <c r="C59">
        <f t="shared" si="0"/>
        <v>35</v>
      </c>
      <c r="D59">
        <f t="shared" si="1"/>
        <v>8</v>
      </c>
      <c r="E59">
        <f>VLOOKUP([6]LDAU!C59,[6]LWAU!A:C,3,0)</f>
        <v>74</v>
      </c>
      <c r="F59" s="30">
        <f>VLOOKUP(D59,[6]LMAU!A:C,3,0)</f>
        <v>148</v>
      </c>
    </row>
    <row r="60" spans="1:6" x14ac:dyDescent="0.3">
      <c r="A60" s="2">
        <v>44803</v>
      </c>
      <c r="B60" s="1">
        <v>26</v>
      </c>
      <c r="C60">
        <f t="shared" si="0"/>
        <v>35</v>
      </c>
      <c r="D60">
        <f t="shared" si="1"/>
        <v>8</v>
      </c>
      <c r="E60">
        <f>VLOOKUP([6]LDAU!C60,[6]LWAU!A:C,3,0)</f>
        <v>74</v>
      </c>
      <c r="F60" s="30">
        <f>VLOOKUP(D60,[6]LMAU!A:C,3,0)</f>
        <v>148</v>
      </c>
    </row>
    <row r="61" spans="1:6" x14ac:dyDescent="0.3">
      <c r="A61" s="2">
        <v>44804</v>
      </c>
      <c r="B61" s="1">
        <v>21</v>
      </c>
      <c r="C61">
        <f t="shared" si="0"/>
        <v>35</v>
      </c>
      <c r="D61">
        <f t="shared" si="1"/>
        <v>8</v>
      </c>
      <c r="E61">
        <f>VLOOKUP([6]LDAU!C61,[6]LWAU!A:C,3,0)</f>
        <v>74</v>
      </c>
      <c r="F61" s="30">
        <f>VLOOKUP(D61,[6]LMAU!A:C,3,0)</f>
        <v>148</v>
      </c>
    </row>
    <row r="62" spans="1:6" x14ac:dyDescent="0.3">
      <c r="A62" s="2">
        <v>44805</v>
      </c>
      <c r="B62" s="1">
        <v>24</v>
      </c>
      <c r="C62">
        <f t="shared" si="0"/>
        <v>35</v>
      </c>
      <c r="D62">
        <f t="shared" si="1"/>
        <v>9</v>
      </c>
      <c r="E62">
        <f>VLOOKUP([6]LDAU!C62,[6]LWAU!A:C,3,0)</f>
        <v>74</v>
      </c>
      <c r="F62" s="30">
        <f>VLOOKUP(D62,[6]LMAU!A:C,3,0)</f>
        <v>142</v>
      </c>
    </row>
    <row r="63" spans="1:6" x14ac:dyDescent="0.3">
      <c r="A63" s="2">
        <v>44806</v>
      </c>
      <c r="B63" s="1">
        <v>27</v>
      </c>
      <c r="C63">
        <f t="shared" si="0"/>
        <v>35</v>
      </c>
      <c r="D63">
        <f t="shared" si="1"/>
        <v>9</v>
      </c>
      <c r="E63">
        <f>VLOOKUP([6]LDAU!C63,[6]LWAU!A:C,3,0)</f>
        <v>74</v>
      </c>
      <c r="F63" s="30">
        <f>VLOOKUP(D63,[6]LMAU!A:C,3,0)</f>
        <v>142</v>
      </c>
    </row>
    <row r="64" spans="1:6" x14ac:dyDescent="0.3">
      <c r="A64" s="2">
        <v>44807</v>
      </c>
      <c r="B64" s="1">
        <v>23</v>
      </c>
      <c r="C64">
        <f t="shared" si="0"/>
        <v>35</v>
      </c>
      <c r="D64">
        <f t="shared" si="1"/>
        <v>9</v>
      </c>
      <c r="E64">
        <f>VLOOKUP([6]LDAU!C64,[6]LWAU!A:C,3,0)</f>
        <v>74</v>
      </c>
      <c r="F64" s="30">
        <f>VLOOKUP(D64,[6]LMAU!A:C,3,0)</f>
        <v>142</v>
      </c>
    </row>
    <row r="65" spans="1:6" x14ac:dyDescent="0.3">
      <c r="A65" s="2">
        <v>44808</v>
      </c>
      <c r="B65" s="1">
        <v>24</v>
      </c>
      <c r="C65">
        <f t="shared" si="0"/>
        <v>35</v>
      </c>
      <c r="D65">
        <f t="shared" si="1"/>
        <v>9</v>
      </c>
      <c r="E65">
        <f>VLOOKUP([6]LDAU!C65,[6]LWAU!A:C,3,0)</f>
        <v>74</v>
      </c>
      <c r="F65" s="30">
        <f>VLOOKUP(D65,[6]LMAU!A:C,3,0)</f>
        <v>142</v>
      </c>
    </row>
    <row r="66" spans="1:6" x14ac:dyDescent="0.3">
      <c r="A66" s="2">
        <v>44809</v>
      </c>
      <c r="B66" s="1">
        <v>18</v>
      </c>
      <c r="C66">
        <f t="shared" si="0"/>
        <v>36</v>
      </c>
      <c r="D66">
        <f t="shared" si="1"/>
        <v>9</v>
      </c>
      <c r="E66">
        <f>VLOOKUP([6]LDAU!C66,[6]LWAU!A:C,3,0)</f>
        <v>76</v>
      </c>
      <c r="F66" s="30">
        <f>VLOOKUP(D66,[6]LMAU!A:C,3,0)</f>
        <v>142</v>
      </c>
    </row>
    <row r="67" spans="1:6" x14ac:dyDescent="0.3">
      <c r="A67" s="2">
        <v>44810</v>
      </c>
      <c r="B67" s="1">
        <v>18</v>
      </c>
      <c r="C67">
        <f t="shared" ref="C67:C130" si="2">_xlfn.ISOWEEKNUM(A67)</f>
        <v>36</v>
      </c>
      <c r="D67">
        <f t="shared" ref="D67:D130" si="3">MONTH(A67)</f>
        <v>9</v>
      </c>
      <c r="E67">
        <f>VLOOKUP([6]LDAU!C67,[6]LWAU!A:C,3,0)</f>
        <v>76</v>
      </c>
      <c r="F67" s="30">
        <f>VLOOKUP(D67,[6]LMAU!A:C,3,0)</f>
        <v>142</v>
      </c>
    </row>
    <row r="68" spans="1:6" x14ac:dyDescent="0.3">
      <c r="A68" s="2">
        <v>44811</v>
      </c>
      <c r="B68" s="1">
        <v>17</v>
      </c>
      <c r="C68">
        <f t="shared" si="2"/>
        <v>36</v>
      </c>
      <c r="D68">
        <f t="shared" si="3"/>
        <v>9</v>
      </c>
      <c r="E68">
        <f>VLOOKUP([6]LDAU!C68,[6]LWAU!A:C,3,0)</f>
        <v>76</v>
      </c>
      <c r="F68" s="30">
        <f>VLOOKUP(D68,[6]LMAU!A:C,3,0)</f>
        <v>142</v>
      </c>
    </row>
    <row r="69" spans="1:6" x14ac:dyDescent="0.3">
      <c r="A69" s="2">
        <v>44812</v>
      </c>
      <c r="B69" s="1">
        <v>24</v>
      </c>
      <c r="C69">
        <f t="shared" si="2"/>
        <v>36</v>
      </c>
      <c r="D69">
        <f t="shared" si="3"/>
        <v>9</v>
      </c>
      <c r="E69">
        <f>VLOOKUP([6]LDAU!C69,[6]LWAU!A:C,3,0)</f>
        <v>76</v>
      </c>
      <c r="F69" s="30">
        <f>VLOOKUP(D69,[6]LMAU!A:C,3,0)</f>
        <v>142</v>
      </c>
    </row>
    <row r="70" spans="1:6" x14ac:dyDescent="0.3">
      <c r="A70" s="2">
        <v>44813</v>
      </c>
      <c r="B70" s="1">
        <v>33</v>
      </c>
      <c r="C70">
        <f t="shared" si="2"/>
        <v>36</v>
      </c>
      <c r="D70">
        <f t="shared" si="3"/>
        <v>9</v>
      </c>
      <c r="E70">
        <f>VLOOKUP([6]LDAU!C70,[6]LWAU!A:C,3,0)</f>
        <v>76</v>
      </c>
      <c r="F70" s="30">
        <f>VLOOKUP(D70,[6]LMAU!A:C,3,0)</f>
        <v>142</v>
      </c>
    </row>
    <row r="71" spans="1:6" x14ac:dyDescent="0.3">
      <c r="A71" s="2">
        <v>44814</v>
      </c>
      <c r="B71" s="1">
        <v>19</v>
      </c>
      <c r="C71">
        <f t="shared" si="2"/>
        <v>36</v>
      </c>
      <c r="D71">
        <f t="shared" si="3"/>
        <v>9</v>
      </c>
      <c r="E71">
        <f>VLOOKUP([6]LDAU!C71,[6]LWAU!A:C,3,0)</f>
        <v>76</v>
      </c>
      <c r="F71" s="30">
        <f>VLOOKUP(D71,[6]LMAU!A:C,3,0)</f>
        <v>142</v>
      </c>
    </row>
    <row r="72" spans="1:6" x14ac:dyDescent="0.3">
      <c r="A72" s="2">
        <v>44815</v>
      </c>
      <c r="B72" s="1">
        <v>24</v>
      </c>
      <c r="C72">
        <f t="shared" si="2"/>
        <v>36</v>
      </c>
      <c r="D72">
        <f t="shared" si="3"/>
        <v>9</v>
      </c>
      <c r="E72">
        <f>VLOOKUP([6]LDAU!C72,[6]LWAU!A:C,3,0)</f>
        <v>76</v>
      </c>
      <c r="F72" s="30">
        <f>VLOOKUP(D72,[6]LMAU!A:C,3,0)</f>
        <v>142</v>
      </c>
    </row>
    <row r="73" spans="1:6" x14ac:dyDescent="0.3">
      <c r="A73" s="2">
        <v>44816</v>
      </c>
      <c r="B73" s="1">
        <v>22</v>
      </c>
      <c r="C73">
        <f t="shared" si="2"/>
        <v>37</v>
      </c>
      <c r="D73">
        <f t="shared" si="3"/>
        <v>9</v>
      </c>
      <c r="E73">
        <f>VLOOKUP([6]LDAU!C73,[6]LWAU!A:C,3,0)</f>
        <v>77</v>
      </c>
      <c r="F73" s="30">
        <f>VLOOKUP(D73,[6]LMAU!A:C,3,0)</f>
        <v>142</v>
      </c>
    </row>
    <row r="74" spans="1:6" x14ac:dyDescent="0.3">
      <c r="A74" s="2">
        <v>44817</v>
      </c>
      <c r="B74" s="1">
        <v>25</v>
      </c>
      <c r="C74">
        <f t="shared" si="2"/>
        <v>37</v>
      </c>
      <c r="D74">
        <f t="shared" si="3"/>
        <v>9</v>
      </c>
      <c r="E74">
        <f>VLOOKUP([6]LDAU!C74,[6]LWAU!A:C,3,0)</f>
        <v>77</v>
      </c>
      <c r="F74" s="30">
        <f>VLOOKUP(D74,[6]LMAU!A:C,3,0)</f>
        <v>142</v>
      </c>
    </row>
    <row r="75" spans="1:6" x14ac:dyDescent="0.3">
      <c r="A75" s="2">
        <v>44818</v>
      </c>
      <c r="B75" s="1">
        <v>19</v>
      </c>
      <c r="C75">
        <f t="shared" si="2"/>
        <v>37</v>
      </c>
      <c r="D75">
        <f t="shared" si="3"/>
        <v>9</v>
      </c>
      <c r="E75">
        <f>VLOOKUP([6]LDAU!C75,[6]LWAU!A:C,3,0)</f>
        <v>77</v>
      </c>
      <c r="F75" s="30">
        <f>VLOOKUP(D75,[6]LMAU!A:C,3,0)</f>
        <v>142</v>
      </c>
    </row>
    <row r="76" spans="1:6" x14ac:dyDescent="0.3">
      <c r="A76" s="2">
        <v>44819</v>
      </c>
      <c r="B76" s="1">
        <v>29</v>
      </c>
      <c r="C76">
        <f t="shared" si="2"/>
        <v>37</v>
      </c>
      <c r="D76">
        <f t="shared" si="3"/>
        <v>9</v>
      </c>
      <c r="E76">
        <f>VLOOKUP([6]LDAU!C76,[6]LWAU!A:C,3,0)</f>
        <v>77</v>
      </c>
      <c r="F76" s="30">
        <f>VLOOKUP(D76,[6]LMAU!A:C,3,0)</f>
        <v>142</v>
      </c>
    </row>
    <row r="77" spans="1:6" x14ac:dyDescent="0.3">
      <c r="A77" s="2">
        <v>44820</v>
      </c>
      <c r="B77" s="1">
        <v>32</v>
      </c>
      <c r="C77">
        <f t="shared" si="2"/>
        <v>37</v>
      </c>
      <c r="D77">
        <f t="shared" si="3"/>
        <v>9</v>
      </c>
      <c r="E77">
        <f>VLOOKUP([6]LDAU!C77,[6]LWAU!A:C,3,0)</f>
        <v>77</v>
      </c>
      <c r="F77" s="30">
        <f>VLOOKUP(D77,[6]LMAU!A:C,3,0)</f>
        <v>142</v>
      </c>
    </row>
    <row r="78" spans="1:6" x14ac:dyDescent="0.3">
      <c r="A78" s="2">
        <v>44821</v>
      </c>
      <c r="B78" s="1">
        <v>24</v>
      </c>
      <c r="C78">
        <f t="shared" si="2"/>
        <v>37</v>
      </c>
      <c r="D78">
        <f t="shared" si="3"/>
        <v>9</v>
      </c>
      <c r="E78">
        <f>VLOOKUP([6]LDAU!C78,[6]LWAU!A:C,3,0)</f>
        <v>77</v>
      </c>
      <c r="F78" s="30">
        <f>VLOOKUP(D78,[6]LMAU!A:C,3,0)</f>
        <v>142</v>
      </c>
    </row>
    <row r="79" spans="1:6" x14ac:dyDescent="0.3">
      <c r="A79" s="2">
        <v>44822</v>
      </c>
      <c r="B79" s="1">
        <v>25</v>
      </c>
      <c r="C79">
        <f t="shared" si="2"/>
        <v>37</v>
      </c>
      <c r="D79">
        <f t="shared" si="3"/>
        <v>9</v>
      </c>
      <c r="E79">
        <f>VLOOKUP([6]LDAU!C79,[6]LWAU!A:C,3,0)</f>
        <v>77</v>
      </c>
      <c r="F79" s="30">
        <f>VLOOKUP(D79,[6]LMAU!A:C,3,0)</f>
        <v>142</v>
      </c>
    </row>
    <row r="80" spans="1:6" x14ac:dyDescent="0.3">
      <c r="A80" s="2">
        <v>44823</v>
      </c>
      <c r="B80" s="1">
        <v>25</v>
      </c>
      <c r="C80">
        <f t="shared" si="2"/>
        <v>38</v>
      </c>
      <c r="D80">
        <f t="shared" si="3"/>
        <v>9</v>
      </c>
      <c r="E80">
        <f>VLOOKUP([6]LDAU!C80,[6]LWAU!A:C,3,0)</f>
        <v>78</v>
      </c>
      <c r="F80" s="30">
        <f>VLOOKUP(D80,[6]LMAU!A:C,3,0)</f>
        <v>142</v>
      </c>
    </row>
    <row r="81" spans="1:6" x14ac:dyDescent="0.3">
      <c r="A81" s="2">
        <v>44824</v>
      </c>
      <c r="B81" s="1">
        <v>29</v>
      </c>
      <c r="C81">
        <f t="shared" si="2"/>
        <v>38</v>
      </c>
      <c r="D81">
        <f t="shared" si="3"/>
        <v>9</v>
      </c>
      <c r="E81">
        <f>VLOOKUP([6]LDAU!C81,[6]LWAU!A:C,3,0)</f>
        <v>78</v>
      </c>
      <c r="F81" s="30">
        <f>VLOOKUP(D81,[6]LMAU!A:C,3,0)</f>
        <v>142</v>
      </c>
    </row>
    <row r="82" spans="1:6" x14ac:dyDescent="0.3">
      <c r="A82" s="2">
        <v>44825</v>
      </c>
      <c r="B82" s="1">
        <v>30</v>
      </c>
      <c r="C82">
        <f t="shared" si="2"/>
        <v>38</v>
      </c>
      <c r="D82">
        <f t="shared" si="3"/>
        <v>9</v>
      </c>
      <c r="E82">
        <f>VLOOKUP([6]LDAU!C82,[6]LWAU!A:C,3,0)</f>
        <v>78</v>
      </c>
      <c r="F82" s="30">
        <f>VLOOKUP(D82,[6]LMAU!A:C,3,0)</f>
        <v>142</v>
      </c>
    </row>
    <row r="83" spans="1:6" x14ac:dyDescent="0.3">
      <c r="A83" s="2">
        <v>44826</v>
      </c>
      <c r="B83" s="1">
        <v>23</v>
      </c>
      <c r="C83">
        <f t="shared" si="2"/>
        <v>38</v>
      </c>
      <c r="D83">
        <f t="shared" si="3"/>
        <v>9</v>
      </c>
      <c r="E83">
        <f>VLOOKUP([6]LDAU!C83,[6]LWAU!A:C,3,0)</f>
        <v>78</v>
      </c>
      <c r="F83" s="30">
        <f>VLOOKUP(D83,[6]LMAU!A:C,3,0)</f>
        <v>142</v>
      </c>
    </row>
    <row r="84" spans="1:6" x14ac:dyDescent="0.3">
      <c r="A84" s="2">
        <v>44827</v>
      </c>
      <c r="B84" s="1">
        <v>19</v>
      </c>
      <c r="C84">
        <f t="shared" si="2"/>
        <v>38</v>
      </c>
      <c r="D84">
        <f t="shared" si="3"/>
        <v>9</v>
      </c>
      <c r="E84">
        <f>VLOOKUP([6]LDAU!C84,[6]LWAU!A:C,3,0)</f>
        <v>78</v>
      </c>
      <c r="F84" s="30">
        <f>VLOOKUP(D84,[6]LMAU!A:C,3,0)</f>
        <v>142</v>
      </c>
    </row>
    <row r="85" spans="1:6" x14ac:dyDescent="0.3">
      <c r="A85" s="2">
        <v>44828</v>
      </c>
      <c r="B85" s="1">
        <v>18</v>
      </c>
      <c r="C85">
        <f t="shared" si="2"/>
        <v>38</v>
      </c>
      <c r="D85">
        <f t="shared" si="3"/>
        <v>9</v>
      </c>
      <c r="E85">
        <f>VLOOKUP([6]LDAU!C85,[6]LWAU!A:C,3,0)</f>
        <v>78</v>
      </c>
      <c r="F85" s="30">
        <f>VLOOKUP(D85,[6]LMAU!A:C,3,0)</f>
        <v>142</v>
      </c>
    </row>
    <row r="86" spans="1:6" x14ac:dyDescent="0.3">
      <c r="A86" s="2">
        <v>44829</v>
      </c>
      <c r="B86" s="1">
        <v>30</v>
      </c>
      <c r="C86">
        <f t="shared" si="2"/>
        <v>38</v>
      </c>
      <c r="D86">
        <f t="shared" si="3"/>
        <v>9</v>
      </c>
      <c r="E86">
        <f>VLOOKUP([6]LDAU!C86,[6]LWAU!A:C,3,0)</f>
        <v>78</v>
      </c>
      <c r="F86" s="30">
        <f>VLOOKUP(D86,[6]LMAU!A:C,3,0)</f>
        <v>142</v>
      </c>
    </row>
    <row r="87" spans="1:6" x14ac:dyDescent="0.3">
      <c r="A87" s="2">
        <v>44830</v>
      </c>
      <c r="B87" s="1">
        <v>22</v>
      </c>
      <c r="C87">
        <f t="shared" si="2"/>
        <v>39</v>
      </c>
      <c r="D87">
        <f t="shared" si="3"/>
        <v>9</v>
      </c>
      <c r="E87">
        <f>VLOOKUP([6]LDAU!C87,[6]LWAU!A:C,3,0)</f>
        <v>69</v>
      </c>
      <c r="F87" s="30">
        <f>VLOOKUP(D87,[6]LMAU!A:C,3,0)</f>
        <v>142</v>
      </c>
    </row>
    <row r="88" spans="1:6" x14ac:dyDescent="0.3">
      <c r="A88" s="2">
        <v>44831</v>
      </c>
      <c r="B88" s="1">
        <v>21</v>
      </c>
      <c r="C88">
        <f t="shared" si="2"/>
        <v>39</v>
      </c>
      <c r="D88">
        <f t="shared" si="3"/>
        <v>9</v>
      </c>
      <c r="E88">
        <f>VLOOKUP([6]LDAU!C88,[6]LWAU!A:C,3,0)</f>
        <v>69</v>
      </c>
      <c r="F88" s="30">
        <f>VLOOKUP(D88,[6]LMAU!A:C,3,0)</f>
        <v>142</v>
      </c>
    </row>
    <row r="89" spans="1:6" x14ac:dyDescent="0.3">
      <c r="A89" s="2">
        <v>44832</v>
      </c>
      <c r="B89" s="1">
        <v>20</v>
      </c>
      <c r="C89">
        <f t="shared" si="2"/>
        <v>39</v>
      </c>
      <c r="D89">
        <f t="shared" si="3"/>
        <v>9</v>
      </c>
      <c r="E89">
        <f>VLOOKUP([6]LDAU!C89,[6]LWAU!A:C,3,0)</f>
        <v>69</v>
      </c>
      <c r="F89" s="30">
        <f>VLOOKUP(D89,[6]LMAU!A:C,3,0)</f>
        <v>142</v>
      </c>
    </row>
    <row r="90" spans="1:6" x14ac:dyDescent="0.3">
      <c r="A90" s="2">
        <v>44833</v>
      </c>
      <c r="B90" s="1">
        <v>17</v>
      </c>
      <c r="C90">
        <f t="shared" si="2"/>
        <v>39</v>
      </c>
      <c r="D90">
        <f t="shared" si="3"/>
        <v>9</v>
      </c>
      <c r="E90">
        <f>VLOOKUP([6]LDAU!C90,[6]LWAU!A:C,3,0)</f>
        <v>69</v>
      </c>
      <c r="F90" s="30">
        <f>VLOOKUP(D90,[6]LMAU!A:C,3,0)</f>
        <v>142</v>
      </c>
    </row>
    <row r="91" spans="1:6" x14ac:dyDescent="0.3">
      <c r="A91" s="2">
        <v>44834</v>
      </c>
      <c r="B91" s="1">
        <v>16</v>
      </c>
      <c r="C91">
        <f t="shared" si="2"/>
        <v>39</v>
      </c>
      <c r="D91">
        <f t="shared" si="3"/>
        <v>9</v>
      </c>
      <c r="E91">
        <f>VLOOKUP([6]LDAU!C91,[6]LWAU!A:C,3,0)</f>
        <v>69</v>
      </c>
      <c r="F91" s="30">
        <f>VLOOKUP(D91,[6]LMAU!A:C,3,0)</f>
        <v>142</v>
      </c>
    </row>
    <row r="92" spans="1:6" x14ac:dyDescent="0.3">
      <c r="A92" s="2">
        <v>44835</v>
      </c>
      <c r="B92" s="1">
        <v>22</v>
      </c>
      <c r="C92">
        <f t="shared" si="2"/>
        <v>39</v>
      </c>
      <c r="D92">
        <f t="shared" si="3"/>
        <v>10</v>
      </c>
      <c r="E92">
        <f>VLOOKUP([6]LDAU!C92,[6]LWAU!A:C,3,0)</f>
        <v>69</v>
      </c>
      <c r="F92" s="30">
        <f>VLOOKUP(D92,[6]LMAU!A:C,3,0)</f>
        <v>133</v>
      </c>
    </row>
    <row r="93" spans="1:6" x14ac:dyDescent="0.3">
      <c r="A93" s="2">
        <v>44836</v>
      </c>
      <c r="B93" s="1">
        <v>15</v>
      </c>
      <c r="C93">
        <f t="shared" si="2"/>
        <v>39</v>
      </c>
      <c r="D93">
        <f t="shared" si="3"/>
        <v>10</v>
      </c>
      <c r="E93">
        <f>VLOOKUP([6]LDAU!C93,[6]LWAU!A:C,3,0)</f>
        <v>69</v>
      </c>
      <c r="F93" s="30">
        <f>VLOOKUP(D93,[6]LMAU!A:C,3,0)</f>
        <v>133</v>
      </c>
    </row>
    <row r="94" spans="1:6" x14ac:dyDescent="0.3">
      <c r="A94" s="2">
        <v>44837</v>
      </c>
      <c r="B94" s="1">
        <v>20</v>
      </c>
      <c r="C94">
        <f t="shared" si="2"/>
        <v>40</v>
      </c>
      <c r="D94">
        <f t="shared" si="3"/>
        <v>10</v>
      </c>
      <c r="E94">
        <f>VLOOKUP([6]LDAU!C94,[6]LWAU!A:C,3,0)</f>
        <v>66</v>
      </c>
      <c r="F94" s="30">
        <f>VLOOKUP(D94,[6]LMAU!A:C,3,0)</f>
        <v>133</v>
      </c>
    </row>
    <row r="95" spans="1:6" x14ac:dyDescent="0.3">
      <c r="A95" s="2">
        <v>44838</v>
      </c>
      <c r="B95" s="1">
        <v>25</v>
      </c>
      <c r="C95">
        <f t="shared" si="2"/>
        <v>40</v>
      </c>
      <c r="D95">
        <f t="shared" si="3"/>
        <v>10</v>
      </c>
      <c r="E95">
        <f>VLOOKUP([6]LDAU!C95,[6]LWAU!A:C,3,0)</f>
        <v>66</v>
      </c>
      <c r="F95" s="30">
        <f>VLOOKUP(D95,[6]LMAU!A:C,3,0)</f>
        <v>133</v>
      </c>
    </row>
    <row r="96" spans="1:6" x14ac:dyDescent="0.3">
      <c r="A96" s="2">
        <v>44839</v>
      </c>
      <c r="B96" s="1">
        <v>18</v>
      </c>
      <c r="C96">
        <f t="shared" si="2"/>
        <v>40</v>
      </c>
      <c r="D96">
        <f t="shared" si="3"/>
        <v>10</v>
      </c>
      <c r="E96">
        <f>VLOOKUP([6]LDAU!C96,[6]LWAU!A:C,3,0)</f>
        <v>66</v>
      </c>
      <c r="F96" s="30">
        <f>VLOOKUP(D96,[6]LMAU!A:C,3,0)</f>
        <v>133</v>
      </c>
    </row>
    <row r="97" spans="1:6" x14ac:dyDescent="0.3">
      <c r="A97" s="2">
        <v>44840</v>
      </c>
      <c r="B97" s="1">
        <v>27</v>
      </c>
      <c r="C97">
        <f t="shared" si="2"/>
        <v>40</v>
      </c>
      <c r="D97">
        <f t="shared" si="3"/>
        <v>10</v>
      </c>
      <c r="E97">
        <f>VLOOKUP([6]LDAU!C97,[6]LWAU!A:C,3,0)</f>
        <v>66</v>
      </c>
      <c r="F97" s="30">
        <f>VLOOKUP(D97,[6]LMAU!A:C,3,0)</f>
        <v>133</v>
      </c>
    </row>
    <row r="98" spans="1:6" x14ac:dyDescent="0.3">
      <c r="A98" s="2">
        <v>44841</v>
      </c>
      <c r="B98" s="1">
        <v>22</v>
      </c>
      <c r="C98">
        <f t="shared" si="2"/>
        <v>40</v>
      </c>
      <c r="D98">
        <f t="shared" si="3"/>
        <v>10</v>
      </c>
      <c r="E98">
        <f>VLOOKUP([6]LDAU!C98,[6]LWAU!A:C,3,0)</f>
        <v>66</v>
      </c>
      <c r="F98" s="30">
        <f>VLOOKUP(D98,[6]LMAU!A:C,3,0)</f>
        <v>133</v>
      </c>
    </row>
    <row r="99" spans="1:6" x14ac:dyDescent="0.3">
      <c r="A99" s="2">
        <v>44842</v>
      </c>
      <c r="B99" s="1">
        <v>18</v>
      </c>
      <c r="C99">
        <f t="shared" si="2"/>
        <v>40</v>
      </c>
      <c r="D99">
        <f t="shared" si="3"/>
        <v>10</v>
      </c>
      <c r="E99">
        <f>VLOOKUP([6]LDAU!C99,[6]LWAU!A:C,3,0)</f>
        <v>66</v>
      </c>
      <c r="F99" s="30">
        <f>VLOOKUP(D99,[6]LMAU!A:C,3,0)</f>
        <v>133</v>
      </c>
    </row>
    <row r="100" spans="1:6" x14ac:dyDescent="0.3">
      <c r="A100" s="2">
        <v>44843</v>
      </c>
      <c r="B100" s="1">
        <v>20</v>
      </c>
      <c r="C100">
        <f t="shared" si="2"/>
        <v>40</v>
      </c>
      <c r="D100">
        <f t="shared" si="3"/>
        <v>10</v>
      </c>
      <c r="E100">
        <f>VLOOKUP([6]LDAU!C100,[6]LWAU!A:C,3,0)</f>
        <v>66</v>
      </c>
      <c r="F100" s="30">
        <f>VLOOKUP(D100,[6]LMAU!A:C,3,0)</f>
        <v>133</v>
      </c>
    </row>
    <row r="101" spans="1:6" x14ac:dyDescent="0.3">
      <c r="A101" s="2">
        <v>44844</v>
      </c>
      <c r="B101" s="1">
        <v>17</v>
      </c>
      <c r="C101">
        <f t="shared" si="2"/>
        <v>41</v>
      </c>
      <c r="D101">
        <f t="shared" si="3"/>
        <v>10</v>
      </c>
      <c r="E101">
        <f>VLOOKUP([6]LDAU!C101,[6]LWAU!A:C,3,0)</f>
        <v>71</v>
      </c>
      <c r="F101" s="30">
        <f>VLOOKUP(D101,[6]LMAU!A:C,3,0)</f>
        <v>133</v>
      </c>
    </row>
    <row r="102" spans="1:6" x14ac:dyDescent="0.3">
      <c r="A102" s="2">
        <v>44845</v>
      </c>
      <c r="B102" s="1">
        <v>24</v>
      </c>
      <c r="C102">
        <f t="shared" si="2"/>
        <v>41</v>
      </c>
      <c r="D102">
        <f t="shared" si="3"/>
        <v>10</v>
      </c>
      <c r="E102">
        <f>VLOOKUP([6]LDAU!C102,[6]LWAU!A:C,3,0)</f>
        <v>71</v>
      </c>
      <c r="F102" s="30">
        <f>VLOOKUP(D102,[6]LMAU!A:C,3,0)</f>
        <v>133</v>
      </c>
    </row>
    <row r="103" spans="1:6" x14ac:dyDescent="0.3">
      <c r="A103" s="2">
        <v>44846</v>
      </c>
      <c r="B103" s="1">
        <v>22</v>
      </c>
      <c r="C103">
        <f t="shared" si="2"/>
        <v>41</v>
      </c>
      <c r="D103">
        <f t="shared" si="3"/>
        <v>10</v>
      </c>
      <c r="E103">
        <f>VLOOKUP([6]LDAU!C103,[6]LWAU!A:C,3,0)</f>
        <v>71</v>
      </c>
      <c r="F103" s="30">
        <f>VLOOKUP(D103,[6]LMAU!A:C,3,0)</f>
        <v>133</v>
      </c>
    </row>
    <row r="104" spans="1:6" x14ac:dyDescent="0.3">
      <c r="A104" s="2">
        <v>44847</v>
      </c>
      <c r="B104" s="1">
        <v>19</v>
      </c>
      <c r="C104">
        <f t="shared" si="2"/>
        <v>41</v>
      </c>
      <c r="D104">
        <f t="shared" si="3"/>
        <v>10</v>
      </c>
      <c r="E104">
        <f>VLOOKUP([6]LDAU!C104,[6]LWAU!A:C,3,0)</f>
        <v>71</v>
      </c>
      <c r="F104" s="30">
        <f>VLOOKUP(D104,[6]LMAU!A:C,3,0)</f>
        <v>133</v>
      </c>
    </row>
    <row r="105" spans="1:6" x14ac:dyDescent="0.3">
      <c r="A105" s="2">
        <v>44848</v>
      </c>
      <c r="B105" s="1">
        <v>26</v>
      </c>
      <c r="C105">
        <f t="shared" si="2"/>
        <v>41</v>
      </c>
      <c r="D105">
        <f t="shared" si="3"/>
        <v>10</v>
      </c>
      <c r="E105">
        <f>VLOOKUP([6]LDAU!C105,[6]LWAU!A:C,3,0)</f>
        <v>71</v>
      </c>
      <c r="F105" s="30">
        <f>VLOOKUP(D105,[6]LMAU!A:C,3,0)</f>
        <v>133</v>
      </c>
    </row>
    <row r="106" spans="1:6" x14ac:dyDescent="0.3">
      <c r="A106" s="2">
        <v>44849</v>
      </c>
      <c r="B106" s="1">
        <v>22</v>
      </c>
      <c r="C106">
        <f t="shared" si="2"/>
        <v>41</v>
      </c>
      <c r="D106">
        <f t="shared" si="3"/>
        <v>10</v>
      </c>
      <c r="E106">
        <f>VLOOKUP([6]LDAU!C106,[6]LWAU!A:C,3,0)</f>
        <v>71</v>
      </c>
      <c r="F106" s="30">
        <f>VLOOKUP(D106,[6]LMAU!A:C,3,0)</f>
        <v>133</v>
      </c>
    </row>
    <row r="107" spans="1:6" x14ac:dyDescent="0.3">
      <c r="A107" s="2">
        <v>44850</v>
      </c>
      <c r="B107" s="1">
        <v>24</v>
      </c>
      <c r="C107">
        <f t="shared" si="2"/>
        <v>41</v>
      </c>
      <c r="D107">
        <f t="shared" si="3"/>
        <v>10</v>
      </c>
      <c r="E107">
        <f>VLOOKUP([6]LDAU!C107,[6]LWAU!A:C,3,0)</f>
        <v>71</v>
      </c>
      <c r="F107" s="30">
        <f>VLOOKUP(D107,[6]LMAU!A:C,3,0)</f>
        <v>133</v>
      </c>
    </row>
    <row r="108" spans="1:6" x14ac:dyDescent="0.3">
      <c r="A108" s="2">
        <v>44851</v>
      </c>
      <c r="B108" s="1">
        <v>20</v>
      </c>
      <c r="C108">
        <f t="shared" si="2"/>
        <v>42</v>
      </c>
      <c r="D108">
        <f t="shared" si="3"/>
        <v>10</v>
      </c>
      <c r="E108">
        <f>VLOOKUP([6]LDAU!C108,[6]LWAU!A:C,3,0)</f>
        <v>63</v>
      </c>
      <c r="F108" s="30">
        <f>VLOOKUP(D108,[6]LMAU!A:C,3,0)</f>
        <v>133</v>
      </c>
    </row>
    <row r="109" spans="1:6" x14ac:dyDescent="0.3">
      <c r="A109" s="2">
        <v>44852</v>
      </c>
      <c r="B109" s="1">
        <v>16</v>
      </c>
      <c r="C109">
        <f t="shared" si="2"/>
        <v>42</v>
      </c>
      <c r="D109">
        <f t="shared" si="3"/>
        <v>10</v>
      </c>
      <c r="E109">
        <f>VLOOKUP([6]LDAU!C109,[6]LWAU!A:C,3,0)</f>
        <v>63</v>
      </c>
      <c r="F109" s="30">
        <f>VLOOKUP(D109,[6]LMAU!A:C,3,0)</f>
        <v>133</v>
      </c>
    </row>
    <row r="110" spans="1:6" x14ac:dyDescent="0.3">
      <c r="A110" s="2">
        <v>44853</v>
      </c>
      <c r="B110" s="1">
        <v>25</v>
      </c>
      <c r="C110">
        <f t="shared" si="2"/>
        <v>42</v>
      </c>
      <c r="D110">
        <f t="shared" si="3"/>
        <v>10</v>
      </c>
      <c r="E110">
        <f>VLOOKUP([6]LDAU!C110,[6]LWAU!A:C,3,0)</f>
        <v>63</v>
      </c>
      <c r="F110" s="30">
        <f>VLOOKUP(D110,[6]LMAU!A:C,3,0)</f>
        <v>133</v>
      </c>
    </row>
    <row r="111" spans="1:6" x14ac:dyDescent="0.3">
      <c r="A111" s="2">
        <v>44854</v>
      </c>
      <c r="B111" s="1">
        <v>15</v>
      </c>
      <c r="C111">
        <f t="shared" si="2"/>
        <v>42</v>
      </c>
      <c r="D111">
        <f t="shared" si="3"/>
        <v>10</v>
      </c>
      <c r="E111">
        <f>VLOOKUP([6]LDAU!C111,[6]LWAU!A:C,3,0)</f>
        <v>63</v>
      </c>
      <c r="F111" s="30">
        <f>VLOOKUP(D111,[6]LMAU!A:C,3,0)</f>
        <v>133</v>
      </c>
    </row>
    <row r="112" spans="1:6" x14ac:dyDescent="0.3">
      <c r="A112" s="2">
        <v>44855</v>
      </c>
      <c r="B112" s="1">
        <v>21</v>
      </c>
      <c r="C112">
        <f t="shared" si="2"/>
        <v>42</v>
      </c>
      <c r="D112">
        <f t="shared" si="3"/>
        <v>10</v>
      </c>
      <c r="E112">
        <f>VLOOKUP([6]LDAU!C112,[6]LWAU!A:C,3,0)</f>
        <v>63</v>
      </c>
      <c r="F112" s="30">
        <f>VLOOKUP(D112,[6]LMAU!A:C,3,0)</f>
        <v>133</v>
      </c>
    </row>
    <row r="113" spans="1:6" x14ac:dyDescent="0.3">
      <c r="A113" s="2">
        <v>44856</v>
      </c>
      <c r="B113" s="1">
        <v>21</v>
      </c>
      <c r="C113">
        <f t="shared" si="2"/>
        <v>42</v>
      </c>
      <c r="D113">
        <f t="shared" si="3"/>
        <v>10</v>
      </c>
      <c r="E113">
        <f>VLOOKUP([6]LDAU!C113,[6]LWAU!A:C,3,0)</f>
        <v>63</v>
      </c>
      <c r="F113" s="30">
        <f>VLOOKUP(D113,[6]LMAU!A:C,3,0)</f>
        <v>133</v>
      </c>
    </row>
    <row r="114" spans="1:6" x14ac:dyDescent="0.3">
      <c r="A114" s="2">
        <v>44857</v>
      </c>
      <c r="B114" s="1">
        <v>16</v>
      </c>
      <c r="C114">
        <f t="shared" si="2"/>
        <v>42</v>
      </c>
      <c r="D114">
        <f t="shared" si="3"/>
        <v>10</v>
      </c>
      <c r="E114">
        <f>VLOOKUP([6]LDAU!C114,[6]LWAU!A:C,3,0)</f>
        <v>63</v>
      </c>
      <c r="F114" s="30">
        <f>VLOOKUP(D114,[6]LMAU!A:C,3,0)</f>
        <v>133</v>
      </c>
    </row>
    <row r="115" spans="1:6" x14ac:dyDescent="0.3">
      <c r="A115" s="2">
        <v>44858</v>
      </c>
      <c r="B115" s="1">
        <v>18</v>
      </c>
      <c r="C115">
        <f t="shared" si="2"/>
        <v>43</v>
      </c>
      <c r="D115">
        <f t="shared" si="3"/>
        <v>10</v>
      </c>
      <c r="E115">
        <f>VLOOKUP([6]LDAU!C115,[6]LWAU!A:C,3,0)</f>
        <v>67</v>
      </c>
      <c r="F115" s="30">
        <f>VLOOKUP(D115,[6]LMAU!A:C,3,0)</f>
        <v>133</v>
      </c>
    </row>
    <row r="116" spans="1:6" x14ac:dyDescent="0.3">
      <c r="A116" s="2">
        <v>44859</v>
      </c>
      <c r="B116" s="1">
        <v>20</v>
      </c>
      <c r="C116">
        <f t="shared" si="2"/>
        <v>43</v>
      </c>
      <c r="D116">
        <f t="shared" si="3"/>
        <v>10</v>
      </c>
      <c r="E116">
        <f>VLOOKUP([6]LDAU!C116,[6]LWAU!A:C,3,0)</f>
        <v>67</v>
      </c>
      <c r="F116" s="30">
        <f>VLOOKUP(D116,[6]LMAU!A:C,3,0)</f>
        <v>133</v>
      </c>
    </row>
    <row r="117" spans="1:6" x14ac:dyDescent="0.3">
      <c r="A117" s="2">
        <v>44860</v>
      </c>
      <c r="B117" s="1">
        <v>18</v>
      </c>
      <c r="C117">
        <f t="shared" si="2"/>
        <v>43</v>
      </c>
      <c r="D117">
        <f t="shared" si="3"/>
        <v>10</v>
      </c>
      <c r="E117">
        <f>VLOOKUP([6]LDAU!C117,[6]LWAU!A:C,3,0)</f>
        <v>67</v>
      </c>
      <c r="F117" s="30">
        <f>VLOOKUP(D117,[6]LMAU!A:C,3,0)</f>
        <v>133</v>
      </c>
    </row>
    <row r="118" spans="1:6" x14ac:dyDescent="0.3">
      <c r="A118" s="2">
        <v>44861</v>
      </c>
      <c r="B118" s="1">
        <v>20</v>
      </c>
      <c r="C118">
        <f t="shared" si="2"/>
        <v>43</v>
      </c>
      <c r="D118">
        <f t="shared" si="3"/>
        <v>10</v>
      </c>
      <c r="E118">
        <f>VLOOKUP([6]LDAU!C118,[6]LWAU!A:C,3,0)</f>
        <v>67</v>
      </c>
      <c r="F118" s="30">
        <f>VLOOKUP(D118,[6]LMAU!A:C,3,0)</f>
        <v>133</v>
      </c>
    </row>
    <row r="119" spans="1:6" x14ac:dyDescent="0.3">
      <c r="A119" s="2">
        <v>44862</v>
      </c>
      <c r="B119" s="1">
        <v>24</v>
      </c>
      <c r="C119">
        <f t="shared" si="2"/>
        <v>43</v>
      </c>
      <c r="D119">
        <f t="shared" si="3"/>
        <v>10</v>
      </c>
      <c r="E119">
        <f>VLOOKUP([6]LDAU!C119,[6]LWAU!A:C,3,0)</f>
        <v>67</v>
      </c>
      <c r="F119" s="30">
        <f>VLOOKUP(D119,[6]LMAU!A:C,3,0)</f>
        <v>133</v>
      </c>
    </row>
    <row r="120" spans="1:6" x14ac:dyDescent="0.3">
      <c r="A120" s="2">
        <v>44863</v>
      </c>
      <c r="B120" s="1">
        <v>18</v>
      </c>
      <c r="C120">
        <f t="shared" si="2"/>
        <v>43</v>
      </c>
      <c r="D120">
        <f t="shared" si="3"/>
        <v>10</v>
      </c>
      <c r="E120">
        <f>VLOOKUP([6]LDAU!C120,[6]LWAU!A:C,3,0)</f>
        <v>67</v>
      </c>
      <c r="F120" s="30">
        <f>VLOOKUP(D120,[6]LMAU!A:C,3,0)</f>
        <v>133</v>
      </c>
    </row>
    <row r="121" spans="1:6" x14ac:dyDescent="0.3">
      <c r="A121" s="2">
        <v>44864</v>
      </c>
      <c r="B121" s="1">
        <v>26</v>
      </c>
      <c r="C121">
        <f t="shared" si="2"/>
        <v>43</v>
      </c>
      <c r="D121">
        <f t="shared" si="3"/>
        <v>10</v>
      </c>
      <c r="E121">
        <f>VLOOKUP([6]LDAU!C121,[6]LWAU!A:C,3,0)</f>
        <v>67</v>
      </c>
      <c r="F121" s="30">
        <f>VLOOKUP(D121,[6]LMAU!A:C,3,0)</f>
        <v>133</v>
      </c>
    </row>
    <row r="122" spans="1:6" x14ac:dyDescent="0.3">
      <c r="A122" s="2">
        <v>44865</v>
      </c>
      <c r="B122" s="1">
        <v>24</v>
      </c>
      <c r="C122">
        <f t="shared" si="2"/>
        <v>44</v>
      </c>
      <c r="D122">
        <f t="shared" si="3"/>
        <v>10</v>
      </c>
      <c r="E122">
        <f>VLOOKUP([6]LDAU!C122,[6]LWAU!A:C,3,0)</f>
        <v>71</v>
      </c>
      <c r="F122" s="30">
        <f>VLOOKUP(D122,[6]LMAU!A:C,3,0)</f>
        <v>133</v>
      </c>
    </row>
    <row r="123" spans="1:6" x14ac:dyDescent="0.3">
      <c r="A123" s="2">
        <v>44866</v>
      </c>
      <c r="B123" s="1">
        <v>19</v>
      </c>
      <c r="C123">
        <f t="shared" si="2"/>
        <v>44</v>
      </c>
      <c r="D123">
        <f t="shared" si="3"/>
        <v>11</v>
      </c>
      <c r="E123">
        <f>VLOOKUP([6]LDAU!C123,[6]LWAU!A:C,3,0)</f>
        <v>71</v>
      </c>
      <c r="F123" s="30">
        <f>VLOOKUP(D123,[6]LMAU!A:C,3,0)</f>
        <v>158</v>
      </c>
    </row>
    <row r="124" spans="1:6" x14ac:dyDescent="0.3">
      <c r="A124" s="2">
        <v>44867</v>
      </c>
      <c r="B124" s="1">
        <v>15</v>
      </c>
      <c r="C124">
        <f t="shared" si="2"/>
        <v>44</v>
      </c>
      <c r="D124">
        <f t="shared" si="3"/>
        <v>11</v>
      </c>
      <c r="E124">
        <f>VLOOKUP([6]LDAU!C124,[6]LWAU!A:C,3,0)</f>
        <v>71</v>
      </c>
      <c r="F124" s="30">
        <f>VLOOKUP(D124,[6]LMAU!A:C,3,0)</f>
        <v>158</v>
      </c>
    </row>
    <row r="125" spans="1:6" x14ac:dyDescent="0.3">
      <c r="A125" s="2">
        <v>44868</v>
      </c>
      <c r="B125" s="1">
        <v>23</v>
      </c>
      <c r="C125">
        <f t="shared" si="2"/>
        <v>44</v>
      </c>
      <c r="D125">
        <f t="shared" si="3"/>
        <v>11</v>
      </c>
      <c r="E125">
        <f>VLOOKUP([6]LDAU!C125,[6]LWAU!A:C,3,0)</f>
        <v>71</v>
      </c>
      <c r="F125" s="30">
        <f>VLOOKUP(D125,[6]LMAU!A:C,3,0)</f>
        <v>158</v>
      </c>
    </row>
    <row r="126" spans="1:6" x14ac:dyDescent="0.3">
      <c r="A126" s="2">
        <v>44869</v>
      </c>
      <c r="B126" s="1">
        <v>19</v>
      </c>
      <c r="C126">
        <f t="shared" si="2"/>
        <v>44</v>
      </c>
      <c r="D126">
        <f t="shared" si="3"/>
        <v>11</v>
      </c>
      <c r="E126">
        <f>VLOOKUP([6]LDAU!C126,[6]LWAU!A:C,3,0)</f>
        <v>71</v>
      </c>
      <c r="F126" s="30">
        <f>VLOOKUP(D126,[6]LMAU!A:C,3,0)</f>
        <v>158</v>
      </c>
    </row>
    <row r="127" spans="1:6" x14ac:dyDescent="0.3">
      <c r="A127" s="2">
        <v>44870</v>
      </c>
      <c r="B127" s="1">
        <v>16</v>
      </c>
      <c r="C127">
        <f t="shared" si="2"/>
        <v>44</v>
      </c>
      <c r="D127">
        <f t="shared" si="3"/>
        <v>11</v>
      </c>
      <c r="E127">
        <f>VLOOKUP([6]LDAU!C127,[6]LWAU!A:C,3,0)</f>
        <v>71</v>
      </c>
      <c r="F127" s="30">
        <f>VLOOKUP(D127,[6]LMAU!A:C,3,0)</f>
        <v>158</v>
      </c>
    </row>
    <row r="128" spans="1:6" x14ac:dyDescent="0.3">
      <c r="A128" s="2">
        <v>44871</v>
      </c>
      <c r="B128" s="1">
        <v>18</v>
      </c>
      <c r="C128">
        <f t="shared" si="2"/>
        <v>44</v>
      </c>
      <c r="D128">
        <f t="shared" si="3"/>
        <v>11</v>
      </c>
      <c r="E128">
        <f>VLOOKUP([6]LDAU!C128,[6]LWAU!A:C,3,0)</f>
        <v>71</v>
      </c>
      <c r="F128" s="30">
        <f>VLOOKUP(D128,[6]LMAU!A:C,3,0)</f>
        <v>158</v>
      </c>
    </row>
    <row r="129" spans="1:6" x14ac:dyDescent="0.3">
      <c r="A129" s="2">
        <v>44872</v>
      </c>
      <c r="B129" s="1">
        <v>18</v>
      </c>
      <c r="C129">
        <f t="shared" si="2"/>
        <v>45</v>
      </c>
      <c r="D129">
        <f t="shared" si="3"/>
        <v>11</v>
      </c>
      <c r="E129">
        <f>VLOOKUP([6]LDAU!C129,[6]LWAU!A:C,3,0)</f>
        <v>74</v>
      </c>
      <c r="F129" s="30">
        <f>VLOOKUP(D129,[6]LMAU!A:C,3,0)</f>
        <v>158</v>
      </c>
    </row>
    <row r="130" spans="1:6" x14ac:dyDescent="0.3">
      <c r="A130" s="2">
        <v>44873</v>
      </c>
      <c r="B130" s="1">
        <v>23</v>
      </c>
      <c r="C130">
        <f t="shared" si="2"/>
        <v>45</v>
      </c>
      <c r="D130">
        <f t="shared" si="3"/>
        <v>11</v>
      </c>
      <c r="E130">
        <f>VLOOKUP([6]LDAU!C130,[6]LWAU!A:C,3,0)</f>
        <v>74</v>
      </c>
      <c r="F130" s="30">
        <f>VLOOKUP(D130,[6]LMAU!A:C,3,0)</f>
        <v>158</v>
      </c>
    </row>
    <row r="131" spans="1:6" x14ac:dyDescent="0.3">
      <c r="A131" s="2">
        <v>44874</v>
      </c>
      <c r="B131" s="1">
        <v>22</v>
      </c>
      <c r="C131">
        <f t="shared" ref="C131:C194" si="4">_xlfn.ISOWEEKNUM(A131)</f>
        <v>45</v>
      </c>
      <c r="D131">
        <f t="shared" ref="D131:D194" si="5">MONTH(A131)</f>
        <v>11</v>
      </c>
      <c r="E131">
        <f>VLOOKUP([6]LDAU!C131,[6]LWAU!A:C,3,0)</f>
        <v>74</v>
      </c>
      <c r="F131" s="30">
        <f>VLOOKUP(D131,[6]LMAU!A:C,3,0)</f>
        <v>158</v>
      </c>
    </row>
    <row r="132" spans="1:6" x14ac:dyDescent="0.3">
      <c r="A132" s="2">
        <v>44875</v>
      </c>
      <c r="B132" s="1">
        <v>25</v>
      </c>
      <c r="C132">
        <f t="shared" si="4"/>
        <v>45</v>
      </c>
      <c r="D132">
        <f t="shared" si="5"/>
        <v>11</v>
      </c>
      <c r="E132">
        <f>VLOOKUP([6]LDAU!C132,[6]LWAU!A:C,3,0)</f>
        <v>74</v>
      </c>
      <c r="F132" s="30">
        <f>VLOOKUP(D132,[6]LMAU!A:C,3,0)</f>
        <v>158</v>
      </c>
    </row>
    <row r="133" spans="1:6" x14ac:dyDescent="0.3">
      <c r="A133" s="2">
        <v>44876</v>
      </c>
      <c r="B133" s="1">
        <v>19</v>
      </c>
      <c r="C133">
        <f t="shared" si="4"/>
        <v>45</v>
      </c>
      <c r="D133">
        <f t="shared" si="5"/>
        <v>11</v>
      </c>
      <c r="E133">
        <f>VLOOKUP([6]LDAU!C133,[6]LWAU!A:C,3,0)</f>
        <v>74</v>
      </c>
      <c r="F133" s="30">
        <f>VLOOKUP(D133,[6]LMAU!A:C,3,0)</f>
        <v>158</v>
      </c>
    </row>
    <row r="134" spans="1:6" x14ac:dyDescent="0.3">
      <c r="A134" s="2">
        <v>44877</v>
      </c>
      <c r="B134" s="1">
        <v>19</v>
      </c>
      <c r="C134">
        <f t="shared" si="4"/>
        <v>45</v>
      </c>
      <c r="D134">
        <f t="shared" si="5"/>
        <v>11</v>
      </c>
      <c r="E134">
        <f>VLOOKUP([6]LDAU!C134,[6]LWAU!A:C,3,0)</f>
        <v>74</v>
      </c>
      <c r="F134" s="30">
        <f>VLOOKUP(D134,[6]LMAU!A:C,3,0)</f>
        <v>158</v>
      </c>
    </row>
    <row r="135" spans="1:6" x14ac:dyDescent="0.3">
      <c r="A135" s="2">
        <v>44878</v>
      </c>
      <c r="B135" s="1">
        <v>15</v>
      </c>
      <c r="C135">
        <f t="shared" si="4"/>
        <v>45</v>
      </c>
      <c r="D135">
        <f t="shared" si="5"/>
        <v>11</v>
      </c>
      <c r="E135">
        <f>VLOOKUP([6]LDAU!C135,[6]LWAU!A:C,3,0)</f>
        <v>74</v>
      </c>
      <c r="F135" s="30">
        <f>VLOOKUP(D135,[6]LMAU!A:C,3,0)</f>
        <v>158</v>
      </c>
    </row>
    <row r="136" spans="1:6" x14ac:dyDescent="0.3">
      <c r="A136" s="2">
        <v>44879</v>
      </c>
      <c r="B136" s="1">
        <v>14</v>
      </c>
      <c r="C136">
        <f t="shared" si="4"/>
        <v>46</v>
      </c>
      <c r="D136">
        <f t="shared" si="5"/>
        <v>11</v>
      </c>
      <c r="E136">
        <f>VLOOKUP([6]LDAU!C136,[6]LWAU!A:C,3,0)</f>
        <v>72</v>
      </c>
      <c r="F136" s="30">
        <f>VLOOKUP(D136,[6]LMAU!A:C,3,0)</f>
        <v>158</v>
      </c>
    </row>
    <row r="137" spans="1:6" x14ac:dyDescent="0.3">
      <c r="A137" s="2">
        <v>44880</v>
      </c>
      <c r="B137" s="1">
        <v>16</v>
      </c>
      <c r="C137">
        <f t="shared" si="4"/>
        <v>46</v>
      </c>
      <c r="D137">
        <f t="shared" si="5"/>
        <v>11</v>
      </c>
      <c r="E137">
        <f>VLOOKUP([6]LDAU!C137,[6]LWAU!A:C,3,0)</f>
        <v>72</v>
      </c>
      <c r="F137" s="30">
        <f>VLOOKUP(D137,[6]LMAU!A:C,3,0)</f>
        <v>158</v>
      </c>
    </row>
    <row r="138" spans="1:6" x14ac:dyDescent="0.3">
      <c r="A138" s="2">
        <v>44881</v>
      </c>
      <c r="B138" s="1">
        <v>14</v>
      </c>
      <c r="C138">
        <f t="shared" si="4"/>
        <v>46</v>
      </c>
      <c r="D138">
        <f t="shared" si="5"/>
        <v>11</v>
      </c>
      <c r="E138">
        <f>VLOOKUP([6]LDAU!C138,[6]LWAU!A:C,3,0)</f>
        <v>72</v>
      </c>
      <c r="F138" s="30">
        <f>VLOOKUP(D138,[6]LMAU!A:C,3,0)</f>
        <v>158</v>
      </c>
    </row>
    <row r="139" spans="1:6" x14ac:dyDescent="0.3">
      <c r="A139" s="2">
        <v>44882</v>
      </c>
      <c r="B139" s="1">
        <v>17</v>
      </c>
      <c r="C139">
        <f t="shared" si="4"/>
        <v>46</v>
      </c>
      <c r="D139">
        <f t="shared" si="5"/>
        <v>11</v>
      </c>
      <c r="E139">
        <f>VLOOKUP([6]LDAU!C139,[6]LWAU!A:C,3,0)</f>
        <v>72</v>
      </c>
      <c r="F139" s="30">
        <f>VLOOKUP(D139,[6]LMAU!A:C,3,0)</f>
        <v>158</v>
      </c>
    </row>
    <row r="140" spans="1:6" x14ac:dyDescent="0.3">
      <c r="A140" s="2">
        <v>44883</v>
      </c>
      <c r="B140" s="1">
        <v>20</v>
      </c>
      <c r="C140">
        <f t="shared" si="4"/>
        <v>46</v>
      </c>
      <c r="D140">
        <f t="shared" si="5"/>
        <v>11</v>
      </c>
      <c r="E140">
        <f>VLOOKUP([6]LDAU!C140,[6]LWAU!A:C,3,0)</f>
        <v>72</v>
      </c>
      <c r="F140" s="30">
        <f>VLOOKUP(D140,[6]LMAU!A:C,3,0)</f>
        <v>158</v>
      </c>
    </row>
    <row r="141" spans="1:6" x14ac:dyDescent="0.3">
      <c r="A141" s="2">
        <v>44884</v>
      </c>
      <c r="B141" s="1">
        <v>13</v>
      </c>
      <c r="C141">
        <f t="shared" si="4"/>
        <v>46</v>
      </c>
      <c r="D141">
        <f t="shared" si="5"/>
        <v>11</v>
      </c>
      <c r="E141">
        <f>VLOOKUP([6]LDAU!C141,[6]LWAU!A:C,3,0)</f>
        <v>72</v>
      </c>
      <c r="F141" s="30">
        <f>VLOOKUP(D141,[6]LMAU!A:C,3,0)</f>
        <v>158</v>
      </c>
    </row>
    <row r="142" spans="1:6" x14ac:dyDescent="0.3">
      <c r="A142" s="2">
        <v>44885</v>
      </c>
      <c r="B142" s="1">
        <v>21</v>
      </c>
      <c r="C142">
        <f t="shared" si="4"/>
        <v>46</v>
      </c>
      <c r="D142">
        <f t="shared" si="5"/>
        <v>11</v>
      </c>
      <c r="E142">
        <f>VLOOKUP([6]LDAU!C142,[6]LWAU!A:C,3,0)</f>
        <v>72</v>
      </c>
      <c r="F142" s="30">
        <f>VLOOKUP(D142,[6]LMAU!A:C,3,0)</f>
        <v>158</v>
      </c>
    </row>
    <row r="143" spans="1:6" x14ac:dyDescent="0.3">
      <c r="A143" s="2">
        <v>44886</v>
      </c>
      <c r="B143" s="1">
        <v>9</v>
      </c>
      <c r="C143">
        <f t="shared" si="4"/>
        <v>47</v>
      </c>
      <c r="D143">
        <f t="shared" si="5"/>
        <v>11</v>
      </c>
      <c r="E143">
        <f>VLOOKUP([6]LDAU!C143,[6]LWAU!A:C,3,0)</f>
        <v>65</v>
      </c>
      <c r="F143" s="30">
        <f>VLOOKUP(D143,[6]LMAU!A:C,3,0)</f>
        <v>158</v>
      </c>
    </row>
    <row r="144" spans="1:6" x14ac:dyDescent="0.3">
      <c r="A144" s="2">
        <v>44887</v>
      </c>
      <c r="B144" s="1">
        <v>16</v>
      </c>
      <c r="C144">
        <f t="shared" si="4"/>
        <v>47</v>
      </c>
      <c r="D144">
        <f t="shared" si="5"/>
        <v>11</v>
      </c>
      <c r="E144">
        <f>VLOOKUP([6]LDAU!C144,[6]LWAU!A:C,3,0)</f>
        <v>65</v>
      </c>
      <c r="F144" s="30">
        <f>VLOOKUP(D144,[6]LMAU!A:C,3,0)</f>
        <v>158</v>
      </c>
    </row>
    <row r="145" spans="1:6" x14ac:dyDescent="0.3">
      <c r="A145" s="2">
        <v>44888</v>
      </c>
      <c r="B145" s="1">
        <v>18</v>
      </c>
      <c r="C145">
        <f t="shared" si="4"/>
        <v>47</v>
      </c>
      <c r="D145">
        <f t="shared" si="5"/>
        <v>11</v>
      </c>
      <c r="E145">
        <f>VLOOKUP([6]LDAU!C145,[6]LWAU!A:C,3,0)</f>
        <v>65</v>
      </c>
      <c r="F145" s="30">
        <f>VLOOKUP(D145,[6]LMAU!A:C,3,0)</f>
        <v>158</v>
      </c>
    </row>
    <row r="146" spans="1:6" x14ac:dyDescent="0.3">
      <c r="A146" s="2">
        <v>44889</v>
      </c>
      <c r="B146" s="1">
        <v>10</v>
      </c>
      <c r="C146">
        <f t="shared" si="4"/>
        <v>47</v>
      </c>
      <c r="D146">
        <f t="shared" si="5"/>
        <v>11</v>
      </c>
      <c r="E146">
        <f>VLOOKUP([6]LDAU!C146,[6]LWAU!A:C,3,0)</f>
        <v>65</v>
      </c>
      <c r="F146" s="30">
        <f>VLOOKUP(D146,[6]LMAU!A:C,3,0)</f>
        <v>158</v>
      </c>
    </row>
    <row r="147" spans="1:6" x14ac:dyDescent="0.3">
      <c r="A147" s="2">
        <v>44890</v>
      </c>
      <c r="B147" s="1">
        <v>15</v>
      </c>
      <c r="C147">
        <f t="shared" si="4"/>
        <v>47</v>
      </c>
      <c r="D147">
        <f t="shared" si="5"/>
        <v>11</v>
      </c>
      <c r="E147">
        <f>VLOOKUP([6]LDAU!C147,[6]LWAU!A:C,3,0)</f>
        <v>65</v>
      </c>
      <c r="F147" s="30">
        <f>VLOOKUP(D147,[6]LMAU!A:C,3,0)</f>
        <v>158</v>
      </c>
    </row>
    <row r="148" spans="1:6" x14ac:dyDescent="0.3">
      <c r="A148" s="2">
        <v>44891</v>
      </c>
      <c r="B148" s="1">
        <v>12</v>
      </c>
      <c r="C148">
        <f t="shared" si="4"/>
        <v>47</v>
      </c>
      <c r="D148">
        <f t="shared" si="5"/>
        <v>11</v>
      </c>
      <c r="E148">
        <f>VLOOKUP([6]LDAU!C148,[6]LWAU!A:C,3,0)</f>
        <v>65</v>
      </c>
      <c r="F148" s="30">
        <f>VLOOKUP(D148,[6]LMAU!A:C,3,0)</f>
        <v>158</v>
      </c>
    </row>
    <row r="149" spans="1:6" x14ac:dyDescent="0.3">
      <c r="A149" s="2">
        <v>44892</v>
      </c>
      <c r="B149" s="1">
        <v>12</v>
      </c>
      <c r="C149">
        <f t="shared" si="4"/>
        <v>47</v>
      </c>
      <c r="D149">
        <f t="shared" si="5"/>
        <v>11</v>
      </c>
      <c r="E149">
        <f>VLOOKUP([6]LDAU!C149,[6]LWAU!A:C,3,0)</f>
        <v>65</v>
      </c>
      <c r="F149" s="30">
        <f>VLOOKUP(D149,[6]LMAU!A:C,3,0)</f>
        <v>158</v>
      </c>
    </row>
    <row r="150" spans="1:6" x14ac:dyDescent="0.3">
      <c r="A150" s="2">
        <v>44893</v>
      </c>
      <c r="B150" s="1">
        <v>14</v>
      </c>
      <c r="C150">
        <f t="shared" si="4"/>
        <v>48</v>
      </c>
      <c r="D150">
        <f t="shared" si="5"/>
        <v>11</v>
      </c>
      <c r="E150">
        <f>VLOOKUP([6]LDAU!C150,[6]LWAU!A:C,3,0)</f>
        <v>55</v>
      </c>
      <c r="F150" s="30">
        <f>VLOOKUP(D150,[6]LMAU!A:C,3,0)</f>
        <v>158</v>
      </c>
    </row>
    <row r="151" spans="1:6" x14ac:dyDescent="0.3">
      <c r="A151" s="2">
        <v>44894</v>
      </c>
      <c r="B151" s="1">
        <v>5</v>
      </c>
      <c r="C151">
        <f t="shared" si="4"/>
        <v>48</v>
      </c>
      <c r="D151">
        <f t="shared" si="5"/>
        <v>11</v>
      </c>
      <c r="E151">
        <f>VLOOKUP([6]LDAU!C151,[6]LWAU!A:C,3,0)</f>
        <v>55</v>
      </c>
      <c r="F151" s="30">
        <f>VLOOKUP(D151,[6]LMAU!A:C,3,0)</f>
        <v>158</v>
      </c>
    </row>
    <row r="152" spans="1:6" x14ac:dyDescent="0.3">
      <c r="A152" s="2">
        <v>44895</v>
      </c>
      <c r="B152" s="1">
        <v>8</v>
      </c>
      <c r="C152">
        <f t="shared" si="4"/>
        <v>48</v>
      </c>
      <c r="D152">
        <f t="shared" si="5"/>
        <v>11</v>
      </c>
      <c r="E152">
        <f>VLOOKUP([6]LDAU!C152,[6]LWAU!A:C,3,0)</f>
        <v>55</v>
      </c>
      <c r="F152" s="30">
        <f>VLOOKUP(D152,[6]LMAU!A:C,3,0)</f>
        <v>158</v>
      </c>
    </row>
    <row r="153" spans="1:6" x14ac:dyDescent="0.3">
      <c r="A153" s="2">
        <v>44896</v>
      </c>
      <c r="B153" s="1">
        <v>9</v>
      </c>
      <c r="C153">
        <f t="shared" si="4"/>
        <v>48</v>
      </c>
      <c r="D153">
        <f t="shared" si="5"/>
        <v>12</v>
      </c>
      <c r="E153">
        <f>VLOOKUP([6]LDAU!C153,[6]LWAU!A:C,3,0)</f>
        <v>55</v>
      </c>
      <c r="F153" s="30">
        <f>VLOOKUP(D153,[6]LMAU!A:C,3,0)</f>
        <v>154</v>
      </c>
    </row>
    <row r="154" spans="1:6" x14ac:dyDescent="0.3">
      <c r="A154" s="2">
        <v>44897</v>
      </c>
      <c r="B154" s="1">
        <v>11</v>
      </c>
      <c r="C154">
        <f t="shared" si="4"/>
        <v>48</v>
      </c>
      <c r="D154">
        <f t="shared" si="5"/>
        <v>12</v>
      </c>
      <c r="E154">
        <f>VLOOKUP([6]LDAU!C154,[6]LWAU!A:C,3,0)</f>
        <v>55</v>
      </c>
      <c r="F154" s="30">
        <f>VLOOKUP(D154,[6]LMAU!A:C,3,0)</f>
        <v>154</v>
      </c>
    </row>
    <row r="155" spans="1:6" x14ac:dyDescent="0.3">
      <c r="A155" s="2">
        <v>44898</v>
      </c>
      <c r="B155" s="1">
        <v>9</v>
      </c>
      <c r="C155">
        <f t="shared" si="4"/>
        <v>48</v>
      </c>
      <c r="D155">
        <f t="shared" si="5"/>
        <v>12</v>
      </c>
      <c r="E155">
        <f>VLOOKUP([6]LDAU!C155,[6]LWAU!A:C,3,0)</f>
        <v>55</v>
      </c>
      <c r="F155" s="30">
        <f>VLOOKUP(D155,[6]LMAU!A:C,3,0)</f>
        <v>154</v>
      </c>
    </row>
    <row r="156" spans="1:6" x14ac:dyDescent="0.3">
      <c r="A156" s="2">
        <v>44899</v>
      </c>
      <c r="B156" s="1">
        <v>13</v>
      </c>
      <c r="C156">
        <f t="shared" si="4"/>
        <v>48</v>
      </c>
      <c r="D156">
        <f t="shared" si="5"/>
        <v>12</v>
      </c>
      <c r="E156">
        <f>VLOOKUP([6]LDAU!C156,[6]LWAU!A:C,3,0)</f>
        <v>55</v>
      </c>
      <c r="F156" s="30">
        <f>VLOOKUP(D156,[6]LMAU!A:C,3,0)</f>
        <v>154</v>
      </c>
    </row>
    <row r="157" spans="1:6" x14ac:dyDescent="0.3">
      <c r="A157" s="2">
        <v>44900</v>
      </c>
      <c r="B157" s="1">
        <v>6</v>
      </c>
      <c r="C157">
        <f t="shared" si="4"/>
        <v>49</v>
      </c>
      <c r="D157">
        <f t="shared" si="5"/>
        <v>12</v>
      </c>
      <c r="E157">
        <f>VLOOKUP([6]LDAU!C157,[6]LWAU!A:C,3,0)</f>
        <v>60</v>
      </c>
      <c r="F157" s="30">
        <f>VLOOKUP(D157,[6]LMAU!A:C,3,0)</f>
        <v>154</v>
      </c>
    </row>
    <row r="158" spans="1:6" x14ac:dyDescent="0.3">
      <c r="A158" s="2">
        <v>44901</v>
      </c>
      <c r="B158" s="1">
        <v>16</v>
      </c>
      <c r="C158">
        <f t="shared" si="4"/>
        <v>49</v>
      </c>
      <c r="D158">
        <f t="shared" si="5"/>
        <v>12</v>
      </c>
      <c r="E158">
        <f>VLOOKUP([6]LDAU!C158,[6]LWAU!A:C,3,0)</f>
        <v>60</v>
      </c>
      <c r="F158" s="30">
        <f>VLOOKUP(D158,[6]LMAU!A:C,3,0)</f>
        <v>154</v>
      </c>
    </row>
    <row r="159" spans="1:6" x14ac:dyDescent="0.3">
      <c r="A159" s="2">
        <v>44902</v>
      </c>
      <c r="B159" s="1">
        <v>13</v>
      </c>
      <c r="C159">
        <f t="shared" si="4"/>
        <v>49</v>
      </c>
      <c r="D159">
        <f t="shared" si="5"/>
        <v>12</v>
      </c>
      <c r="E159">
        <f>VLOOKUP([6]LDAU!C159,[6]LWAU!A:C,3,0)</f>
        <v>60</v>
      </c>
      <c r="F159" s="30">
        <f>VLOOKUP(D159,[6]LMAU!A:C,3,0)</f>
        <v>154</v>
      </c>
    </row>
    <row r="160" spans="1:6" x14ac:dyDescent="0.3">
      <c r="A160" s="2">
        <v>44903</v>
      </c>
      <c r="B160" s="1">
        <v>11</v>
      </c>
      <c r="C160">
        <f t="shared" si="4"/>
        <v>49</v>
      </c>
      <c r="D160">
        <f t="shared" si="5"/>
        <v>12</v>
      </c>
      <c r="E160">
        <f>VLOOKUP([6]LDAU!C160,[6]LWAU!A:C,3,0)</f>
        <v>60</v>
      </c>
      <c r="F160" s="30">
        <f>VLOOKUP(D160,[6]LMAU!A:C,3,0)</f>
        <v>154</v>
      </c>
    </row>
    <row r="161" spans="1:6" x14ac:dyDescent="0.3">
      <c r="A161" s="2">
        <v>44904</v>
      </c>
      <c r="B161" s="1">
        <v>13</v>
      </c>
      <c r="C161">
        <f t="shared" si="4"/>
        <v>49</v>
      </c>
      <c r="D161">
        <f t="shared" si="5"/>
        <v>12</v>
      </c>
      <c r="E161">
        <f>VLOOKUP([6]LDAU!C161,[6]LWAU!A:C,3,0)</f>
        <v>60</v>
      </c>
      <c r="F161" s="30">
        <f>VLOOKUP(D161,[6]LMAU!A:C,3,0)</f>
        <v>154</v>
      </c>
    </row>
    <row r="162" spans="1:6" x14ac:dyDescent="0.3">
      <c r="A162" s="2">
        <v>44905</v>
      </c>
      <c r="B162" s="1">
        <v>6</v>
      </c>
      <c r="C162">
        <f t="shared" si="4"/>
        <v>49</v>
      </c>
      <c r="D162">
        <f t="shared" si="5"/>
        <v>12</v>
      </c>
      <c r="E162">
        <f>VLOOKUP([6]LDAU!C162,[6]LWAU!A:C,3,0)</f>
        <v>60</v>
      </c>
      <c r="F162" s="30">
        <f>VLOOKUP(D162,[6]LMAU!A:C,3,0)</f>
        <v>154</v>
      </c>
    </row>
    <row r="163" spans="1:6" x14ac:dyDescent="0.3">
      <c r="A163" s="2">
        <v>44906</v>
      </c>
      <c r="B163" s="1">
        <v>12</v>
      </c>
      <c r="C163">
        <f t="shared" si="4"/>
        <v>49</v>
      </c>
      <c r="D163">
        <f t="shared" si="5"/>
        <v>12</v>
      </c>
      <c r="E163">
        <f>VLOOKUP([6]LDAU!C163,[6]LWAU!A:C,3,0)</f>
        <v>60</v>
      </c>
      <c r="F163" s="30">
        <f>VLOOKUP(D163,[6]LMAU!A:C,3,0)</f>
        <v>154</v>
      </c>
    </row>
    <row r="164" spans="1:6" x14ac:dyDescent="0.3">
      <c r="A164" s="2">
        <v>44907</v>
      </c>
      <c r="B164" s="1">
        <v>12</v>
      </c>
      <c r="C164">
        <f t="shared" si="4"/>
        <v>50</v>
      </c>
      <c r="D164">
        <f t="shared" si="5"/>
        <v>12</v>
      </c>
      <c r="E164">
        <f>VLOOKUP([6]LDAU!C164,[6]LWAU!A:C,3,0)</f>
        <v>55</v>
      </c>
      <c r="F164" s="30">
        <f>VLOOKUP(D164,[6]LMAU!A:C,3,0)</f>
        <v>154</v>
      </c>
    </row>
    <row r="165" spans="1:6" x14ac:dyDescent="0.3">
      <c r="A165" s="2">
        <v>44908</v>
      </c>
      <c r="B165" s="1">
        <v>15</v>
      </c>
      <c r="C165">
        <f t="shared" si="4"/>
        <v>50</v>
      </c>
      <c r="D165">
        <f t="shared" si="5"/>
        <v>12</v>
      </c>
      <c r="E165">
        <f>VLOOKUP([6]LDAU!C165,[6]LWAU!A:C,3,0)</f>
        <v>55</v>
      </c>
      <c r="F165" s="30">
        <f>VLOOKUP(D165,[6]LMAU!A:C,3,0)</f>
        <v>154</v>
      </c>
    </row>
    <row r="166" spans="1:6" x14ac:dyDescent="0.3">
      <c r="A166" s="2">
        <v>44909</v>
      </c>
      <c r="B166" s="1">
        <v>7</v>
      </c>
      <c r="C166">
        <f t="shared" si="4"/>
        <v>50</v>
      </c>
      <c r="D166">
        <f t="shared" si="5"/>
        <v>12</v>
      </c>
      <c r="E166">
        <f>VLOOKUP([6]LDAU!C166,[6]LWAU!A:C,3,0)</f>
        <v>55</v>
      </c>
      <c r="F166" s="30">
        <f>VLOOKUP(D166,[6]LMAU!A:C,3,0)</f>
        <v>154</v>
      </c>
    </row>
    <row r="167" spans="1:6" x14ac:dyDescent="0.3">
      <c r="A167" s="2">
        <v>44910</v>
      </c>
      <c r="B167" s="1">
        <v>7</v>
      </c>
      <c r="C167">
        <f t="shared" si="4"/>
        <v>50</v>
      </c>
      <c r="D167">
        <f t="shared" si="5"/>
        <v>12</v>
      </c>
      <c r="E167">
        <f>VLOOKUP([6]LDAU!C167,[6]LWAU!A:C,3,0)</f>
        <v>55</v>
      </c>
      <c r="F167" s="30">
        <f>VLOOKUP(D167,[6]LMAU!A:C,3,0)</f>
        <v>154</v>
      </c>
    </row>
    <row r="168" spans="1:6" x14ac:dyDescent="0.3">
      <c r="A168" s="2">
        <v>44911</v>
      </c>
      <c r="B168" s="1">
        <v>8</v>
      </c>
      <c r="C168">
        <f t="shared" si="4"/>
        <v>50</v>
      </c>
      <c r="D168">
        <f t="shared" si="5"/>
        <v>12</v>
      </c>
      <c r="E168">
        <f>VLOOKUP([6]LDAU!C168,[6]LWAU!A:C,3,0)</f>
        <v>55</v>
      </c>
      <c r="F168" s="30">
        <f>VLOOKUP(D168,[6]LMAU!A:C,3,0)</f>
        <v>154</v>
      </c>
    </row>
    <row r="169" spans="1:6" x14ac:dyDescent="0.3">
      <c r="A169" s="2">
        <v>44912</v>
      </c>
      <c r="B169" s="1">
        <v>12</v>
      </c>
      <c r="C169">
        <f t="shared" si="4"/>
        <v>50</v>
      </c>
      <c r="D169">
        <f t="shared" si="5"/>
        <v>12</v>
      </c>
      <c r="E169">
        <f>VLOOKUP([6]LDAU!C169,[6]LWAU!A:C,3,0)</f>
        <v>55</v>
      </c>
      <c r="F169" s="30">
        <f>VLOOKUP(D169,[6]LMAU!A:C,3,0)</f>
        <v>154</v>
      </c>
    </row>
    <row r="170" spans="1:6" x14ac:dyDescent="0.3">
      <c r="A170" s="2">
        <v>44913</v>
      </c>
      <c r="B170" s="1">
        <v>8</v>
      </c>
      <c r="C170">
        <f t="shared" si="4"/>
        <v>50</v>
      </c>
      <c r="D170">
        <f t="shared" si="5"/>
        <v>12</v>
      </c>
      <c r="E170">
        <f>VLOOKUP([6]LDAU!C170,[6]LWAU!A:C,3,0)</f>
        <v>55</v>
      </c>
      <c r="F170" s="30">
        <f>VLOOKUP(D170,[6]LMAU!A:C,3,0)</f>
        <v>154</v>
      </c>
    </row>
    <row r="171" spans="1:6" x14ac:dyDescent="0.3">
      <c r="A171" s="2">
        <v>44914</v>
      </c>
      <c r="B171" s="1">
        <v>8</v>
      </c>
      <c r="C171">
        <f t="shared" si="4"/>
        <v>51</v>
      </c>
      <c r="D171">
        <f t="shared" si="5"/>
        <v>12</v>
      </c>
      <c r="E171">
        <f>VLOOKUP([6]LDAU!C171,[6]LWAU!A:C,3,0)</f>
        <v>50</v>
      </c>
      <c r="F171" s="30">
        <f>VLOOKUP(D171,[6]LMAU!A:C,3,0)</f>
        <v>154</v>
      </c>
    </row>
    <row r="172" spans="1:6" x14ac:dyDescent="0.3">
      <c r="A172" s="2">
        <v>44915</v>
      </c>
      <c r="B172" s="1">
        <v>9</v>
      </c>
      <c r="C172">
        <f t="shared" si="4"/>
        <v>51</v>
      </c>
      <c r="D172">
        <f t="shared" si="5"/>
        <v>12</v>
      </c>
      <c r="E172">
        <f>VLOOKUP([6]LDAU!C172,[6]LWAU!A:C,3,0)</f>
        <v>50</v>
      </c>
      <c r="F172" s="30">
        <f>VLOOKUP(D172,[6]LMAU!A:C,3,0)</f>
        <v>154</v>
      </c>
    </row>
    <row r="173" spans="1:6" x14ac:dyDescent="0.3">
      <c r="A173" s="2">
        <v>44916</v>
      </c>
      <c r="B173" s="1">
        <v>9</v>
      </c>
      <c r="C173">
        <f t="shared" si="4"/>
        <v>51</v>
      </c>
      <c r="D173">
        <f t="shared" si="5"/>
        <v>12</v>
      </c>
      <c r="E173">
        <f>VLOOKUP([6]LDAU!C173,[6]LWAU!A:C,3,0)</f>
        <v>50</v>
      </c>
      <c r="F173" s="30">
        <f>VLOOKUP(D173,[6]LMAU!A:C,3,0)</f>
        <v>154</v>
      </c>
    </row>
    <row r="174" spans="1:6" x14ac:dyDescent="0.3">
      <c r="A174" s="2">
        <v>44917</v>
      </c>
      <c r="B174" s="1">
        <v>12</v>
      </c>
      <c r="C174">
        <f t="shared" si="4"/>
        <v>51</v>
      </c>
      <c r="D174">
        <f t="shared" si="5"/>
        <v>12</v>
      </c>
      <c r="E174">
        <f>VLOOKUP([6]LDAU!C174,[6]LWAU!A:C,3,0)</f>
        <v>50</v>
      </c>
      <c r="F174" s="30">
        <f>VLOOKUP(D174,[6]LMAU!A:C,3,0)</f>
        <v>154</v>
      </c>
    </row>
    <row r="175" spans="1:6" x14ac:dyDescent="0.3">
      <c r="A175" s="2">
        <v>44918</v>
      </c>
      <c r="B175" s="1">
        <v>13</v>
      </c>
      <c r="C175">
        <f t="shared" si="4"/>
        <v>51</v>
      </c>
      <c r="D175">
        <f t="shared" si="5"/>
        <v>12</v>
      </c>
      <c r="E175">
        <f>VLOOKUP([6]LDAU!C175,[6]LWAU!A:C,3,0)</f>
        <v>50</v>
      </c>
      <c r="F175" s="30">
        <f>VLOOKUP(D175,[6]LMAU!A:C,3,0)</f>
        <v>154</v>
      </c>
    </row>
    <row r="176" spans="1:6" x14ac:dyDescent="0.3">
      <c r="A176" s="2">
        <v>44919</v>
      </c>
      <c r="B176" s="1">
        <v>10</v>
      </c>
      <c r="C176">
        <f t="shared" si="4"/>
        <v>51</v>
      </c>
      <c r="D176">
        <f t="shared" si="5"/>
        <v>12</v>
      </c>
      <c r="E176">
        <f>VLOOKUP([6]LDAU!C176,[6]LWAU!A:C,3,0)</f>
        <v>50</v>
      </c>
      <c r="F176" s="30">
        <f>VLOOKUP(D176,[6]LMAU!A:C,3,0)</f>
        <v>154</v>
      </c>
    </row>
    <row r="177" spans="1:6" x14ac:dyDescent="0.3">
      <c r="A177" s="2">
        <v>44920</v>
      </c>
      <c r="B177" s="1">
        <v>8</v>
      </c>
      <c r="C177">
        <f t="shared" si="4"/>
        <v>51</v>
      </c>
      <c r="D177">
        <f t="shared" si="5"/>
        <v>12</v>
      </c>
      <c r="E177">
        <f>VLOOKUP([6]LDAU!C177,[6]LWAU!A:C,3,0)</f>
        <v>50</v>
      </c>
      <c r="F177" s="30">
        <f>VLOOKUP(D177,[6]LMAU!A:C,3,0)</f>
        <v>154</v>
      </c>
    </row>
    <row r="178" spans="1:6" x14ac:dyDescent="0.3">
      <c r="A178" s="2">
        <v>44921</v>
      </c>
      <c r="B178" s="1">
        <v>9</v>
      </c>
      <c r="C178">
        <f t="shared" si="4"/>
        <v>52</v>
      </c>
      <c r="D178">
        <f t="shared" si="5"/>
        <v>12</v>
      </c>
      <c r="E178">
        <f>VLOOKUP([6]LDAU!C178,[6]LWAU!A:C,3,0)</f>
        <v>56</v>
      </c>
      <c r="F178" s="30">
        <f>VLOOKUP(D178,[6]LMAU!A:C,3,0)</f>
        <v>154</v>
      </c>
    </row>
    <row r="179" spans="1:6" x14ac:dyDescent="0.3">
      <c r="A179" s="2">
        <v>44922</v>
      </c>
      <c r="B179" s="1">
        <v>10</v>
      </c>
      <c r="C179">
        <f t="shared" si="4"/>
        <v>52</v>
      </c>
      <c r="D179">
        <f t="shared" si="5"/>
        <v>12</v>
      </c>
      <c r="E179">
        <f>VLOOKUP([6]LDAU!C179,[6]LWAU!A:C,3,0)</f>
        <v>56</v>
      </c>
      <c r="F179" s="30">
        <f>VLOOKUP(D179,[6]LMAU!A:C,3,0)</f>
        <v>154</v>
      </c>
    </row>
    <row r="180" spans="1:6" x14ac:dyDescent="0.3">
      <c r="A180" s="2">
        <v>44923</v>
      </c>
      <c r="B180" s="1">
        <v>10</v>
      </c>
      <c r="C180">
        <f t="shared" si="4"/>
        <v>52</v>
      </c>
      <c r="D180">
        <f t="shared" si="5"/>
        <v>12</v>
      </c>
      <c r="E180">
        <f>VLOOKUP([6]LDAU!C180,[6]LWAU!A:C,3,0)</f>
        <v>56</v>
      </c>
      <c r="F180" s="30">
        <f>VLOOKUP(D180,[6]LMAU!A:C,3,0)</f>
        <v>154</v>
      </c>
    </row>
    <row r="181" spans="1:6" x14ac:dyDescent="0.3">
      <c r="A181" s="2">
        <v>44924</v>
      </c>
      <c r="B181" s="1">
        <v>14</v>
      </c>
      <c r="C181">
        <f t="shared" si="4"/>
        <v>52</v>
      </c>
      <c r="D181">
        <f t="shared" si="5"/>
        <v>12</v>
      </c>
      <c r="E181">
        <f>VLOOKUP([6]LDAU!C181,[6]LWAU!A:C,3,0)</f>
        <v>56</v>
      </c>
      <c r="F181" s="30">
        <f>VLOOKUP(D181,[6]LMAU!A:C,3,0)</f>
        <v>154</v>
      </c>
    </row>
    <row r="182" spans="1:6" x14ac:dyDescent="0.3">
      <c r="A182" s="2">
        <v>44925</v>
      </c>
      <c r="B182" s="1">
        <v>10</v>
      </c>
      <c r="C182">
        <f t="shared" si="4"/>
        <v>52</v>
      </c>
      <c r="D182">
        <f t="shared" si="5"/>
        <v>12</v>
      </c>
      <c r="E182">
        <f>VLOOKUP([6]LDAU!C182,[6]LWAU!A:C,3,0)</f>
        <v>56</v>
      </c>
      <c r="F182" s="30">
        <f>VLOOKUP(D182,[6]LMAU!A:C,3,0)</f>
        <v>154</v>
      </c>
    </row>
    <row r="183" spans="1:6" x14ac:dyDescent="0.3">
      <c r="A183" s="2">
        <v>44926</v>
      </c>
      <c r="B183" s="1">
        <v>15</v>
      </c>
      <c r="C183">
        <f t="shared" si="4"/>
        <v>52</v>
      </c>
      <c r="D183">
        <f t="shared" si="5"/>
        <v>12</v>
      </c>
      <c r="E183">
        <f>VLOOKUP([6]LDAU!C183,[6]LWAU!A:C,3,0)</f>
        <v>56</v>
      </c>
      <c r="F183" s="30">
        <f>VLOOKUP(D183,[6]LMAU!A:C,3,0)</f>
        <v>154</v>
      </c>
    </row>
    <row r="184" spans="1:6" x14ac:dyDescent="0.3">
      <c r="A184" s="2">
        <v>44927</v>
      </c>
      <c r="B184" s="1">
        <v>12</v>
      </c>
      <c r="C184">
        <f t="shared" si="4"/>
        <v>52</v>
      </c>
      <c r="D184">
        <f t="shared" si="5"/>
        <v>1</v>
      </c>
      <c r="E184">
        <f>VLOOKUP([6]LDAU!C184,[6]LWAU!A:C,3,0)</f>
        <v>56</v>
      </c>
      <c r="F184" s="30">
        <f>VLOOKUP(D184,[6]LMAU!A:C,3,0)</f>
        <v>213</v>
      </c>
    </row>
    <row r="185" spans="1:6" x14ac:dyDescent="0.3">
      <c r="A185" s="2">
        <v>44928</v>
      </c>
      <c r="B185" s="1">
        <v>14</v>
      </c>
      <c r="C185">
        <f t="shared" si="4"/>
        <v>1</v>
      </c>
      <c r="D185">
        <f t="shared" si="5"/>
        <v>1</v>
      </c>
      <c r="E185">
        <f>VLOOKUP([6]LDAU!C185,[6]LWAU!A:C,3,0)</f>
        <v>71</v>
      </c>
      <c r="F185" s="30">
        <f>VLOOKUP(D185,[6]LMAU!A:C,3,0)</f>
        <v>213</v>
      </c>
    </row>
    <row r="186" spans="1:6" x14ac:dyDescent="0.3">
      <c r="A186" s="2">
        <v>44929</v>
      </c>
      <c r="B186" s="1">
        <v>17</v>
      </c>
      <c r="C186">
        <f t="shared" si="4"/>
        <v>1</v>
      </c>
      <c r="D186">
        <f t="shared" si="5"/>
        <v>1</v>
      </c>
      <c r="E186">
        <f>VLOOKUP([6]LDAU!C186,[6]LWAU!A:C,3,0)</f>
        <v>71</v>
      </c>
      <c r="F186" s="30">
        <f>VLOOKUP(D186,[6]LMAU!A:C,3,0)</f>
        <v>213</v>
      </c>
    </row>
    <row r="187" spans="1:6" x14ac:dyDescent="0.3">
      <c r="A187" s="2">
        <v>44930</v>
      </c>
      <c r="B187" s="1">
        <v>17</v>
      </c>
      <c r="C187">
        <f t="shared" si="4"/>
        <v>1</v>
      </c>
      <c r="D187">
        <f t="shared" si="5"/>
        <v>1</v>
      </c>
      <c r="E187">
        <f>VLOOKUP([6]LDAU!C187,[6]LWAU!A:C,3,0)</f>
        <v>71</v>
      </c>
      <c r="F187" s="30">
        <f>VLOOKUP(D187,[6]LMAU!A:C,3,0)</f>
        <v>213</v>
      </c>
    </row>
    <row r="188" spans="1:6" x14ac:dyDescent="0.3">
      <c r="A188" s="2">
        <v>44931</v>
      </c>
      <c r="B188" s="1">
        <v>16</v>
      </c>
      <c r="C188">
        <f t="shared" si="4"/>
        <v>1</v>
      </c>
      <c r="D188">
        <f t="shared" si="5"/>
        <v>1</v>
      </c>
      <c r="E188">
        <f>VLOOKUP([6]LDAU!C188,[6]LWAU!A:C,3,0)</f>
        <v>71</v>
      </c>
      <c r="F188" s="30">
        <f>VLOOKUP(D188,[6]LMAU!A:C,3,0)</f>
        <v>213</v>
      </c>
    </row>
    <row r="189" spans="1:6" x14ac:dyDescent="0.3">
      <c r="A189" s="2">
        <v>44932</v>
      </c>
      <c r="B189" s="1">
        <v>12</v>
      </c>
      <c r="C189">
        <f t="shared" si="4"/>
        <v>1</v>
      </c>
      <c r="D189">
        <f t="shared" si="5"/>
        <v>1</v>
      </c>
      <c r="E189">
        <f>VLOOKUP([6]LDAU!C189,[6]LWAU!A:C,3,0)</f>
        <v>71</v>
      </c>
      <c r="F189" s="30">
        <f>VLOOKUP(D189,[6]LMAU!A:C,3,0)</f>
        <v>213</v>
      </c>
    </row>
    <row r="190" spans="1:6" x14ac:dyDescent="0.3">
      <c r="A190" s="2">
        <v>44933</v>
      </c>
      <c r="B190" s="1">
        <v>9</v>
      </c>
      <c r="C190">
        <f t="shared" si="4"/>
        <v>1</v>
      </c>
      <c r="D190">
        <f t="shared" si="5"/>
        <v>1</v>
      </c>
      <c r="E190">
        <f>VLOOKUP([6]LDAU!C190,[6]LWAU!A:C,3,0)</f>
        <v>71</v>
      </c>
      <c r="F190" s="30">
        <f>VLOOKUP(D190,[6]LMAU!A:C,3,0)</f>
        <v>213</v>
      </c>
    </row>
    <row r="191" spans="1:6" x14ac:dyDescent="0.3">
      <c r="A191" s="2">
        <v>44934</v>
      </c>
      <c r="B191" s="1">
        <v>21</v>
      </c>
      <c r="C191">
        <f t="shared" si="4"/>
        <v>1</v>
      </c>
      <c r="D191">
        <f t="shared" si="5"/>
        <v>1</v>
      </c>
      <c r="E191">
        <f>VLOOKUP([6]LDAU!C191,[6]LWAU!A:C,3,0)</f>
        <v>71</v>
      </c>
      <c r="F191" s="30">
        <f>VLOOKUP(D191,[6]LMAU!A:C,3,0)</f>
        <v>213</v>
      </c>
    </row>
    <row r="192" spans="1:6" x14ac:dyDescent="0.3">
      <c r="A192" s="2">
        <v>44935</v>
      </c>
      <c r="B192" s="1">
        <v>14</v>
      </c>
      <c r="C192">
        <f t="shared" si="4"/>
        <v>2</v>
      </c>
      <c r="D192">
        <f t="shared" si="5"/>
        <v>1</v>
      </c>
      <c r="E192">
        <f>VLOOKUP([6]LDAU!C192,[6]LWAU!A:C,3,0)</f>
        <v>86</v>
      </c>
      <c r="F192" s="30">
        <f>VLOOKUP(D192,[6]LMAU!A:C,3,0)</f>
        <v>213</v>
      </c>
    </row>
    <row r="193" spans="1:6" x14ac:dyDescent="0.3">
      <c r="A193" s="2">
        <v>44936</v>
      </c>
      <c r="B193" s="1">
        <v>17</v>
      </c>
      <c r="C193">
        <f t="shared" si="4"/>
        <v>2</v>
      </c>
      <c r="D193">
        <f t="shared" si="5"/>
        <v>1</v>
      </c>
      <c r="E193">
        <f>VLOOKUP([6]LDAU!C193,[6]LWAU!A:C,3,0)</f>
        <v>86</v>
      </c>
      <c r="F193" s="30">
        <f>VLOOKUP(D193,[6]LMAU!A:C,3,0)</f>
        <v>213</v>
      </c>
    </row>
    <row r="194" spans="1:6" x14ac:dyDescent="0.3">
      <c r="A194" s="2">
        <v>44937</v>
      </c>
      <c r="B194" s="1">
        <v>27</v>
      </c>
      <c r="C194">
        <f t="shared" si="4"/>
        <v>2</v>
      </c>
      <c r="D194">
        <f t="shared" si="5"/>
        <v>1</v>
      </c>
      <c r="E194">
        <f>VLOOKUP([6]LDAU!C194,[6]LWAU!A:C,3,0)</f>
        <v>86</v>
      </c>
      <c r="F194" s="30">
        <f>VLOOKUP(D194,[6]LMAU!A:C,3,0)</f>
        <v>213</v>
      </c>
    </row>
    <row r="195" spans="1:6" x14ac:dyDescent="0.3">
      <c r="A195" s="2">
        <v>44938</v>
      </c>
      <c r="B195" s="1">
        <v>18</v>
      </c>
      <c r="C195">
        <f t="shared" ref="C195:C258" si="6">_xlfn.ISOWEEKNUM(A195)</f>
        <v>2</v>
      </c>
      <c r="D195">
        <f t="shared" ref="D195:D258" si="7">MONTH(A195)</f>
        <v>1</v>
      </c>
      <c r="E195">
        <f>VLOOKUP([6]LDAU!C195,[6]LWAU!A:C,3,0)</f>
        <v>86</v>
      </c>
      <c r="F195" s="30">
        <f>VLOOKUP(D195,[6]LMAU!A:C,3,0)</f>
        <v>213</v>
      </c>
    </row>
    <row r="196" spans="1:6" x14ac:dyDescent="0.3">
      <c r="A196" s="2">
        <v>44939</v>
      </c>
      <c r="B196" s="1">
        <v>24</v>
      </c>
      <c r="C196">
        <f t="shared" si="6"/>
        <v>2</v>
      </c>
      <c r="D196">
        <f t="shared" si="7"/>
        <v>1</v>
      </c>
      <c r="E196">
        <f>VLOOKUP([6]LDAU!C196,[6]LWAU!A:C,3,0)</f>
        <v>86</v>
      </c>
      <c r="F196" s="30">
        <f>VLOOKUP(D196,[6]LMAU!A:C,3,0)</f>
        <v>213</v>
      </c>
    </row>
    <row r="197" spans="1:6" x14ac:dyDescent="0.3">
      <c r="A197" s="2">
        <v>44940</v>
      </c>
      <c r="B197" s="1">
        <v>29</v>
      </c>
      <c r="C197">
        <f t="shared" si="6"/>
        <v>2</v>
      </c>
      <c r="D197">
        <f t="shared" si="7"/>
        <v>1</v>
      </c>
      <c r="E197">
        <f>VLOOKUP([6]LDAU!C197,[6]LWAU!A:C,3,0)</f>
        <v>86</v>
      </c>
      <c r="F197" s="30">
        <f>VLOOKUP(D197,[6]LMAU!A:C,3,0)</f>
        <v>213</v>
      </c>
    </row>
    <row r="198" spans="1:6" x14ac:dyDescent="0.3">
      <c r="A198" s="2">
        <v>44941</v>
      </c>
      <c r="B198" s="1">
        <v>26</v>
      </c>
      <c r="C198">
        <f t="shared" si="6"/>
        <v>2</v>
      </c>
      <c r="D198">
        <f t="shared" si="7"/>
        <v>1</v>
      </c>
      <c r="E198">
        <f>VLOOKUP([6]LDAU!C198,[6]LWAU!A:C,3,0)</f>
        <v>86</v>
      </c>
      <c r="F198" s="30">
        <f>VLOOKUP(D198,[6]LMAU!A:C,3,0)</f>
        <v>213</v>
      </c>
    </row>
    <row r="199" spans="1:6" x14ac:dyDescent="0.3">
      <c r="A199" s="2">
        <v>44942</v>
      </c>
      <c r="B199" s="1">
        <v>26</v>
      </c>
      <c r="C199">
        <f t="shared" si="6"/>
        <v>3</v>
      </c>
      <c r="D199">
        <f t="shared" si="7"/>
        <v>1</v>
      </c>
      <c r="E199">
        <f>VLOOKUP([6]LDAU!C199,[6]LWAU!A:C,3,0)</f>
        <v>107</v>
      </c>
      <c r="F199" s="30">
        <f>VLOOKUP(D199,[6]LMAU!A:C,3,0)</f>
        <v>213</v>
      </c>
    </row>
    <row r="200" spans="1:6" x14ac:dyDescent="0.3">
      <c r="A200" s="2">
        <v>44943</v>
      </c>
      <c r="B200" s="1">
        <v>32</v>
      </c>
      <c r="C200">
        <f t="shared" si="6"/>
        <v>3</v>
      </c>
      <c r="D200">
        <f t="shared" si="7"/>
        <v>1</v>
      </c>
      <c r="E200">
        <f>VLOOKUP([6]LDAU!C200,[6]LWAU!A:C,3,0)</f>
        <v>107</v>
      </c>
      <c r="F200" s="30">
        <f>VLOOKUP(D200,[6]LMAU!A:C,3,0)</f>
        <v>213</v>
      </c>
    </row>
    <row r="201" spans="1:6" x14ac:dyDescent="0.3">
      <c r="A201" s="2">
        <v>44944</v>
      </c>
      <c r="B201" s="1">
        <v>29</v>
      </c>
      <c r="C201">
        <f t="shared" si="6"/>
        <v>3</v>
      </c>
      <c r="D201">
        <f t="shared" si="7"/>
        <v>1</v>
      </c>
      <c r="E201">
        <f>VLOOKUP([6]LDAU!C201,[6]LWAU!A:C,3,0)</f>
        <v>107</v>
      </c>
      <c r="F201" s="30">
        <f>VLOOKUP(D201,[6]LMAU!A:C,3,0)</f>
        <v>213</v>
      </c>
    </row>
    <row r="202" spans="1:6" x14ac:dyDescent="0.3">
      <c r="A202" s="2">
        <v>44945</v>
      </c>
      <c r="B202" s="1">
        <v>25</v>
      </c>
      <c r="C202">
        <f t="shared" si="6"/>
        <v>3</v>
      </c>
      <c r="D202">
        <f t="shared" si="7"/>
        <v>1</v>
      </c>
      <c r="E202">
        <f>VLOOKUP([6]LDAU!C202,[6]LWAU!A:C,3,0)</f>
        <v>107</v>
      </c>
      <c r="F202" s="30">
        <f>VLOOKUP(D202,[6]LMAU!A:C,3,0)</f>
        <v>213</v>
      </c>
    </row>
    <row r="203" spans="1:6" x14ac:dyDescent="0.3">
      <c r="A203" s="2">
        <v>44946</v>
      </c>
      <c r="B203" s="1">
        <v>31</v>
      </c>
      <c r="C203">
        <f t="shared" si="6"/>
        <v>3</v>
      </c>
      <c r="D203">
        <f t="shared" si="7"/>
        <v>1</v>
      </c>
      <c r="E203">
        <f>VLOOKUP([6]LDAU!C203,[6]LWAU!A:C,3,0)</f>
        <v>107</v>
      </c>
      <c r="F203" s="30">
        <f>VLOOKUP(D203,[6]LMAU!A:C,3,0)</f>
        <v>213</v>
      </c>
    </row>
    <row r="204" spans="1:6" x14ac:dyDescent="0.3">
      <c r="A204" s="2">
        <v>44947</v>
      </c>
      <c r="B204" s="1">
        <v>25</v>
      </c>
      <c r="C204">
        <f t="shared" si="6"/>
        <v>3</v>
      </c>
      <c r="D204">
        <f t="shared" si="7"/>
        <v>1</v>
      </c>
      <c r="E204">
        <f>VLOOKUP([6]LDAU!C204,[6]LWAU!A:C,3,0)</f>
        <v>107</v>
      </c>
      <c r="F204" s="30">
        <f>VLOOKUP(D204,[6]LMAU!A:C,3,0)</f>
        <v>213</v>
      </c>
    </row>
    <row r="205" spans="1:6" x14ac:dyDescent="0.3">
      <c r="A205" s="2">
        <v>44948</v>
      </c>
      <c r="B205" s="1">
        <v>41</v>
      </c>
      <c r="C205">
        <f t="shared" si="6"/>
        <v>3</v>
      </c>
      <c r="D205">
        <f t="shared" si="7"/>
        <v>1</v>
      </c>
      <c r="E205">
        <f>VLOOKUP([6]LDAU!C205,[6]LWAU!A:C,3,0)</f>
        <v>107</v>
      </c>
      <c r="F205" s="30">
        <f>VLOOKUP(D205,[6]LMAU!A:C,3,0)</f>
        <v>213</v>
      </c>
    </row>
    <row r="206" spans="1:6" x14ac:dyDescent="0.3">
      <c r="A206" s="2">
        <v>44949</v>
      </c>
      <c r="B206" s="1">
        <v>31</v>
      </c>
      <c r="C206">
        <f t="shared" si="6"/>
        <v>4</v>
      </c>
      <c r="D206">
        <f t="shared" si="7"/>
        <v>1</v>
      </c>
      <c r="E206">
        <f>VLOOKUP([6]LDAU!C206,[6]LWAU!A:C,3,0)</f>
        <v>110</v>
      </c>
      <c r="F206" s="30">
        <f>VLOOKUP(D206,[6]LMAU!A:C,3,0)</f>
        <v>213</v>
      </c>
    </row>
    <row r="207" spans="1:6" x14ac:dyDescent="0.3">
      <c r="A207" s="2">
        <v>44950</v>
      </c>
      <c r="B207" s="1">
        <v>39</v>
      </c>
      <c r="C207">
        <f t="shared" si="6"/>
        <v>4</v>
      </c>
      <c r="D207">
        <f t="shared" si="7"/>
        <v>1</v>
      </c>
      <c r="E207">
        <f>VLOOKUP([6]LDAU!C207,[6]LWAU!A:C,3,0)</f>
        <v>110</v>
      </c>
      <c r="F207" s="30">
        <f>VLOOKUP(D207,[6]LMAU!A:C,3,0)</f>
        <v>213</v>
      </c>
    </row>
    <row r="208" spans="1:6" x14ac:dyDescent="0.3">
      <c r="A208" s="2">
        <v>44951</v>
      </c>
      <c r="B208" s="1">
        <v>42</v>
      </c>
      <c r="C208">
        <f t="shared" si="6"/>
        <v>4</v>
      </c>
      <c r="D208">
        <f t="shared" si="7"/>
        <v>1</v>
      </c>
      <c r="E208">
        <f>VLOOKUP([6]LDAU!C208,[6]LWAU!A:C,3,0)</f>
        <v>110</v>
      </c>
      <c r="F208" s="30">
        <f>VLOOKUP(D208,[6]LMAU!A:C,3,0)</f>
        <v>213</v>
      </c>
    </row>
    <row r="209" spans="1:6" x14ac:dyDescent="0.3">
      <c r="A209" s="2">
        <v>44952</v>
      </c>
      <c r="B209" s="1">
        <v>28</v>
      </c>
      <c r="C209">
        <f t="shared" si="6"/>
        <v>4</v>
      </c>
      <c r="D209">
        <f t="shared" si="7"/>
        <v>1</v>
      </c>
      <c r="E209">
        <f>VLOOKUP([6]LDAU!C209,[6]LWAU!A:C,3,0)</f>
        <v>110</v>
      </c>
      <c r="F209" s="30">
        <f>VLOOKUP(D209,[6]LMAU!A:C,3,0)</f>
        <v>213</v>
      </c>
    </row>
    <row r="210" spans="1:6" x14ac:dyDescent="0.3">
      <c r="A210" s="2">
        <v>44953</v>
      </c>
      <c r="B210" s="1">
        <v>29</v>
      </c>
      <c r="C210">
        <f t="shared" si="6"/>
        <v>4</v>
      </c>
      <c r="D210">
        <f t="shared" si="7"/>
        <v>1</v>
      </c>
      <c r="E210">
        <f>VLOOKUP([6]LDAU!C210,[6]LWAU!A:C,3,0)</f>
        <v>110</v>
      </c>
      <c r="F210" s="30">
        <f>VLOOKUP(D210,[6]LMAU!A:C,3,0)</f>
        <v>213</v>
      </c>
    </row>
    <row r="211" spans="1:6" x14ac:dyDescent="0.3">
      <c r="A211" s="2">
        <v>44954</v>
      </c>
      <c r="B211" s="1">
        <v>34</v>
      </c>
      <c r="C211">
        <f t="shared" si="6"/>
        <v>4</v>
      </c>
      <c r="D211">
        <f t="shared" si="7"/>
        <v>1</v>
      </c>
      <c r="E211">
        <f>VLOOKUP([6]LDAU!C211,[6]LWAU!A:C,3,0)</f>
        <v>110</v>
      </c>
      <c r="F211" s="30">
        <f>VLOOKUP(D211,[6]LMAU!A:C,3,0)</f>
        <v>213</v>
      </c>
    </row>
    <row r="212" spans="1:6" x14ac:dyDescent="0.3">
      <c r="A212" s="2">
        <v>44955</v>
      </c>
      <c r="B212" s="1">
        <v>33</v>
      </c>
      <c r="C212">
        <f t="shared" si="6"/>
        <v>4</v>
      </c>
      <c r="D212">
        <f t="shared" si="7"/>
        <v>1</v>
      </c>
      <c r="E212">
        <f>VLOOKUP([6]LDAU!C212,[6]LWAU!A:C,3,0)</f>
        <v>110</v>
      </c>
      <c r="F212" s="30">
        <f>VLOOKUP(D212,[6]LMAU!A:C,3,0)</f>
        <v>213</v>
      </c>
    </row>
    <row r="213" spans="1:6" x14ac:dyDescent="0.3">
      <c r="A213" s="2">
        <v>44956</v>
      </c>
      <c r="B213" s="1">
        <v>42</v>
      </c>
      <c r="C213">
        <f t="shared" si="6"/>
        <v>5</v>
      </c>
      <c r="D213">
        <f t="shared" si="7"/>
        <v>1</v>
      </c>
      <c r="E213">
        <f>VLOOKUP([6]LDAU!C213,[6]LWAU!A:C,3,0)</f>
        <v>134</v>
      </c>
      <c r="F213" s="30">
        <f>VLOOKUP(D213,[6]LMAU!A:C,3,0)</f>
        <v>213</v>
      </c>
    </row>
    <row r="214" spans="1:6" x14ac:dyDescent="0.3">
      <c r="A214" s="2">
        <v>44957</v>
      </c>
      <c r="B214" s="1">
        <v>43</v>
      </c>
      <c r="C214">
        <f t="shared" si="6"/>
        <v>5</v>
      </c>
      <c r="D214">
        <f t="shared" si="7"/>
        <v>1</v>
      </c>
      <c r="E214">
        <f>VLOOKUP([6]LDAU!C214,[6]LWAU!A:C,3,0)</f>
        <v>134</v>
      </c>
      <c r="F214" s="30">
        <f>VLOOKUP(D214,[6]LMAU!A:C,3,0)</f>
        <v>213</v>
      </c>
    </row>
    <row r="215" spans="1:6" x14ac:dyDescent="0.3">
      <c r="A215" s="2">
        <v>44958</v>
      </c>
      <c r="B215" s="1">
        <v>35</v>
      </c>
      <c r="C215">
        <f t="shared" si="6"/>
        <v>5</v>
      </c>
      <c r="D215">
        <f t="shared" si="7"/>
        <v>2</v>
      </c>
      <c r="E215">
        <f>VLOOKUP([6]LDAU!C215,[6]LWAU!A:C,3,0)</f>
        <v>134</v>
      </c>
      <c r="F215" s="30">
        <f>VLOOKUP(D215,[6]LMAU!A:C,3,0)</f>
        <v>250</v>
      </c>
    </row>
    <row r="216" spans="1:6" x14ac:dyDescent="0.3">
      <c r="A216" s="2">
        <v>44959</v>
      </c>
      <c r="B216" s="1">
        <v>36</v>
      </c>
      <c r="C216">
        <f t="shared" si="6"/>
        <v>5</v>
      </c>
      <c r="D216">
        <f t="shared" si="7"/>
        <v>2</v>
      </c>
      <c r="E216">
        <f>VLOOKUP([6]LDAU!C216,[6]LWAU!A:C,3,0)</f>
        <v>134</v>
      </c>
      <c r="F216" s="30">
        <f>VLOOKUP(D216,[6]LMAU!A:C,3,0)</f>
        <v>250</v>
      </c>
    </row>
    <row r="217" spans="1:6" x14ac:dyDescent="0.3">
      <c r="A217" s="2">
        <v>44960</v>
      </c>
      <c r="B217" s="1">
        <v>39</v>
      </c>
      <c r="C217">
        <f t="shared" si="6"/>
        <v>5</v>
      </c>
      <c r="D217">
        <f t="shared" si="7"/>
        <v>2</v>
      </c>
      <c r="E217">
        <f>VLOOKUP([6]LDAU!C217,[6]LWAU!A:C,3,0)</f>
        <v>134</v>
      </c>
      <c r="F217" s="30">
        <f>VLOOKUP(D217,[6]LMAU!A:C,3,0)</f>
        <v>250</v>
      </c>
    </row>
    <row r="218" spans="1:6" x14ac:dyDescent="0.3">
      <c r="A218" s="2">
        <v>44961</v>
      </c>
      <c r="B218" s="1">
        <v>35</v>
      </c>
      <c r="C218">
        <f t="shared" si="6"/>
        <v>5</v>
      </c>
      <c r="D218">
        <f t="shared" si="7"/>
        <v>2</v>
      </c>
      <c r="E218">
        <f>VLOOKUP([6]LDAU!C218,[6]LWAU!A:C,3,0)</f>
        <v>134</v>
      </c>
      <c r="F218" s="30">
        <f>VLOOKUP(D218,[6]LMAU!A:C,3,0)</f>
        <v>250</v>
      </c>
    </row>
    <row r="219" spans="1:6" x14ac:dyDescent="0.3">
      <c r="A219" s="2">
        <v>44962</v>
      </c>
      <c r="B219" s="1">
        <v>38</v>
      </c>
      <c r="C219">
        <f t="shared" si="6"/>
        <v>5</v>
      </c>
      <c r="D219">
        <f t="shared" si="7"/>
        <v>2</v>
      </c>
      <c r="E219">
        <f>VLOOKUP([6]LDAU!C219,[6]LWAU!A:C,3,0)</f>
        <v>134</v>
      </c>
      <c r="F219" s="30">
        <f>VLOOKUP(D219,[6]LMAU!A:C,3,0)</f>
        <v>250</v>
      </c>
    </row>
    <row r="220" spans="1:6" x14ac:dyDescent="0.3">
      <c r="A220" s="2">
        <v>44963</v>
      </c>
      <c r="B220" s="1">
        <v>37</v>
      </c>
      <c r="C220">
        <f t="shared" si="6"/>
        <v>6</v>
      </c>
      <c r="D220">
        <f t="shared" si="7"/>
        <v>2</v>
      </c>
      <c r="E220">
        <f>VLOOKUP([6]LDAU!C220,[6]LWAU!A:C,3,0)</f>
        <v>130</v>
      </c>
      <c r="F220" s="30">
        <f>VLOOKUP(D220,[6]LMAU!A:C,3,0)</f>
        <v>250</v>
      </c>
    </row>
    <row r="221" spans="1:6" x14ac:dyDescent="0.3">
      <c r="A221" s="2">
        <v>44964</v>
      </c>
      <c r="B221" s="1">
        <v>30</v>
      </c>
      <c r="C221">
        <f t="shared" si="6"/>
        <v>6</v>
      </c>
      <c r="D221">
        <f t="shared" si="7"/>
        <v>2</v>
      </c>
      <c r="E221">
        <f>VLOOKUP([6]LDAU!C221,[6]LWAU!A:C,3,0)</f>
        <v>130</v>
      </c>
      <c r="F221" s="30">
        <f>VLOOKUP(D221,[6]LMAU!A:C,3,0)</f>
        <v>250</v>
      </c>
    </row>
    <row r="222" spans="1:6" x14ac:dyDescent="0.3">
      <c r="A222" s="2">
        <v>44965</v>
      </c>
      <c r="B222" s="1">
        <v>45</v>
      </c>
      <c r="C222">
        <f t="shared" si="6"/>
        <v>6</v>
      </c>
      <c r="D222">
        <f t="shared" si="7"/>
        <v>2</v>
      </c>
      <c r="E222">
        <f>VLOOKUP([6]LDAU!C222,[6]LWAU!A:C,3,0)</f>
        <v>130</v>
      </c>
      <c r="F222" s="30">
        <f>VLOOKUP(D222,[6]LMAU!A:C,3,0)</f>
        <v>250</v>
      </c>
    </row>
    <row r="223" spans="1:6" x14ac:dyDescent="0.3">
      <c r="A223" s="2">
        <v>44966</v>
      </c>
      <c r="B223" s="1">
        <v>32</v>
      </c>
      <c r="C223">
        <f t="shared" si="6"/>
        <v>6</v>
      </c>
      <c r="D223">
        <f t="shared" si="7"/>
        <v>2</v>
      </c>
      <c r="E223">
        <f>VLOOKUP([6]LDAU!C223,[6]LWAU!A:C,3,0)</f>
        <v>130</v>
      </c>
      <c r="F223" s="30">
        <f>VLOOKUP(D223,[6]LMAU!A:C,3,0)</f>
        <v>250</v>
      </c>
    </row>
    <row r="224" spans="1:6" x14ac:dyDescent="0.3">
      <c r="A224" s="2">
        <v>44967</v>
      </c>
      <c r="B224" s="1">
        <v>41</v>
      </c>
      <c r="C224">
        <f t="shared" si="6"/>
        <v>6</v>
      </c>
      <c r="D224">
        <f t="shared" si="7"/>
        <v>2</v>
      </c>
      <c r="E224">
        <f>VLOOKUP([6]LDAU!C224,[6]LWAU!A:C,3,0)</f>
        <v>130</v>
      </c>
      <c r="F224" s="30">
        <f>VLOOKUP(D224,[6]LMAU!A:C,3,0)</f>
        <v>250</v>
      </c>
    </row>
    <row r="225" spans="1:6" x14ac:dyDescent="0.3">
      <c r="A225" s="2">
        <v>44968</v>
      </c>
      <c r="B225" s="1">
        <v>41</v>
      </c>
      <c r="C225">
        <f t="shared" si="6"/>
        <v>6</v>
      </c>
      <c r="D225">
        <f t="shared" si="7"/>
        <v>2</v>
      </c>
      <c r="E225">
        <f>VLOOKUP([6]LDAU!C225,[6]LWAU!A:C,3,0)</f>
        <v>130</v>
      </c>
      <c r="F225" s="30">
        <f>VLOOKUP(D225,[6]LMAU!A:C,3,0)</f>
        <v>250</v>
      </c>
    </row>
    <row r="226" spans="1:6" x14ac:dyDescent="0.3">
      <c r="A226" s="2">
        <v>44969</v>
      </c>
      <c r="B226" s="1">
        <v>42</v>
      </c>
      <c r="C226">
        <f t="shared" si="6"/>
        <v>6</v>
      </c>
      <c r="D226">
        <f t="shared" si="7"/>
        <v>2</v>
      </c>
      <c r="E226">
        <f>VLOOKUP([6]LDAU!C226,[6]LWAU!A:C,3,0)</f>
        <v>130</v>
      </c>
      <c r="F226" s="30">
        <f>VLOOKUP(D226,[6]LMAU!A:C,3,0)</f>
        <v>250</v>
      </c>
    </row>
    <row r="227" spans="1:6" x14ac:dyDescent="0.3">
      <c r="A227" s="2">
        <v>44970</v>
      </c>
      <c r="B227" s="1">
        <v>28</v>
      </c>
      <c r="C227">
        <f t="shared" si="6"/>
        <v>7</v>
      </c>
      <c r="D227">
        <f t="shared" si="7"/>
        <v>2</v>
      </c>
      <c r="E227">
        <f>VLOOKUP([6]LDAU!C227,[6]LWAU!A:C,3,0)</f>
        <v>118</v>
      </c>
      <c r="F227" s="30">
        <f>VLOOKUP(D227,[6]LMAU!A:C,3,0)</f>
        <v>250</v>
      </c>
    </row>
    <row r="228" spans="1:6" x14ac:dyDescent="0.3">
      <c r="A228" s="2">
        <v>44971</v>
      </c>
      <c r="B228" s="1">
        <v>39</v>
      </c>
      <c r="C228">
        <f t="shared" si="6"/>
        <v>7</v>
      </c>
      <c r="D228">
        <f t="shared" si="7"/>
        <v>2</v>
      </c>
      <c r="E228">
        <f>VLOOKUP([6]LDAU!C228,[6]LWAU!A:C,3,0)</f>
        <v>118</v>
      </c>
      <c r="F228" s="30">
        <f>VLOOKUP(D228,[6]LMAU!A:C,3,0)</f>
        <v>250</v>
      </c>
    </row>
    <row r="229" spans="1:6" x14ac:dyDescent="0.3">
      <c r="A229" s="2">
        <v>44972</v>
      </c>
      <c r="B229" s="1">
        <v>41</v>
      </c>
      <c r="C229">
        <f t="shared" si="6"/>
        <v>7</v>
      </c>
      <c r="D229">
        <f t="shared" si="7"/>
        <v>2</v>
      </c>
      <c r="E229">
        <f>VLOOKUP([6]LDAU!C229,[6]LWAU!A:C,3,0)</f>
        <v>118</v>
      </c>
      <c r="F229" s="30">
        <f>VLOOKUP(D229,[6]LMAU!A:C,3,0)</f>
        <v>250</v>
      </c>
    </row>
    <row r="230" spans="1:6" x14ac:dyDescent="0.3">
      <c r="A230" s="2">
        <v>44973</v>
      </c>
      <c r="B230" s="1">
        <v>38</v>
      </c>
      <c r="C230">
        <f t="shared" si="6"/>
        <v>7</v>
      </c>
      <c r="D230">
        <f t="shared" si="7"/>
        <v>2</v>
      </c>
      <c r="E230">
        <f>VLOOKUP([6]LDAU!C230,[6]LWAU!A:C,3,0)</f>
        <v>118</v>
      </c>
      <c r="F230" s="30">
        <f>VLOOKUP(D230,[6]LMAU!A:C,3,0)</f>
        <v>250</v>
      </c>
    </row>
    <row r="231" spans="1:6" x14ac:dyDescent="0.3">
      <c r="A231" s="2">
        <v>44974</v>
      </c>
      <c r="B231" s="1">
        <v>39</v>
      </c>
      <c r="C231">
        <f t="shared" si="6"/>
        <v>7</v>
      </c>
      <c r="D231">
        <f t="shared" si="7"/>
        <v>2</v>
      </c>
      <c r="E231">
        <f>VLOOKUP([6]LDAU!C231,[6]LWAU!A:C,3,0)</f>
        <v>118</v>
      </c>
      <c r="F231" s="30">
        <f>VLOOKUP(D231,[6]LMAU!A:C,3,0)</f>
        <v>250</v>
      </c>
    </row>
    <row r="232" spans="1:6" x14ac:dyDescent="0.3">
      <c r="A232" s="2">
        <v>44975</v>
      </c>
      <c r="B232" s="1">
        <v>41</v>
      </c>
      <c r="C232">
        <f t="shared" si="6"/>
        <v>7</v>
      </c>
      <c r="D232">
        <f t="shared" si="7"/>
        <v>2</v>
      </c>
      <c r="E232">
        <f>VLOOKUP([6]LDAU!C232,[6]LWAU!A:C,3,0)</f>
        <v>118</v>
      </c>
      <c r="F232" s="30">
        <f>VLOOKUP(D232,[6]LMAU!A:C,3,0)</f>
        <v>250</v>
      </c>
    </row>
    <row r="233" spans="1:6" x14ac:dyDescent="0.3">
      <c r="A233" s="2">
        <v>44976</v>
      </c>
      <c r="B233" s="1">
        <v>32</v>
      </c>
      <c r="C233">
        <f t="shared" si="6"/>
        <v>7</v>
      </c>
      <c r="D233">
        <f t="shared" si="7"/>
        <v>2</v>
      </c>
      <c r="E233">
        <f>VLOOKUP([6]LDAU!C233,[6]LWAU!A:C,3,0)</f>
        <v>118</v>
      </c>
      <c r="F233" s="30">
        <f>VLOOKUP(D233,[6]LMAU!A:C,3,0)</f>
        <v>250</v>
      </c>
    </row>
    <row r="234" spans="1:6" x14ac:dyDescent="0.3">
      <c r="A234" s="2">
        <v>44977</v>
      </c>
      <c r="B234" s="1">
        <v>28</v>
      </c>
      <c r="C234">
        <f t="shared" si="6"/>
        <v>8</v>
      </c>
      <c r="D234">
        <f t="shared" si="7"/>
        <v>2</v>
      </c>
      <c r="E234">
        <f>VLOOKUP([6]LDAU!C234,[6]LWAU!A:C,3,0)</f>
        <v>128</v>
      </c>
      <c r="F234" s="30">
        <f>VLOOKUP(D234,[6]LMAU!A:C,3,0)</f>
        <v>250</v>
      </c>
    </row>
    <row r="235" spans="1:6" x14ac:dyDescent="0.3">
      <c r="A235" s="2">
        <v>44978</v>
      </c>
      <c r="B235" s="1">
        <v>38</v>
      </c>
      <c r="C235">
        <f t="shared" si="6"/>
        <v>8</v>
      </c>
      <c r="D235">
        <f t="shared" si="7"/>
        <v>2</v>
      </c>
      <c r="E235">
        <f>VLOOKUP([6]LDAU!C235,[6]LWAU!A:C,3,0)</f>
        <v>128</v>
      </c>
      <c r="F235" s="30">
        <f>VLOOKUP(D235,[6]LMAU!A:C,3,0)</f>
        <v>250</v>
      </c>
    </row>
    <row r="236" spans="1:6" x14ac:dyDescent="0.3">
      <c r="A236" s="2">
        <v>44979</v>
      </c>
      <c r="B236" s="1">
        <v>35</v>
      </c>
      <c r="C236">
        <f t="shared" si="6"/>
        <v>8</v>
      </c>
      <c r="D236">
        <f t="shared" si="7"/>
        <v>2</v>
      </c>
      <c r="E236">
        <f>VLOOKUP([6]LDAU!C236,[6]LWAU!A:C,3,0)</f>
        <v>128</v>
      </c>
      <c r="F236" s="30">
        <f>VLOOKUP(D236,[6]LMAU!A:C,3,0)</f>
        <v>250</v>
      </c>
    </row>
    <row r="237" spans="1:6" x14ac:dyDescent="0.3">
      <c r="A237" s="2">
        <v>44980</v>
      </c>
      <c r="B237" s="1">
        <v>24</v>
      </c>
      <c r="C237">
        <f t="shared" si="6"/>
        <v>8</v>
      </c>
      <c r="D237">
        <f t="shared" si="7"/>
        <v>2</v>
      </c>
      <c r="E237">
        <f>VLOOKUP([6]LDAU!C237,[6]LWAU!A:C,3,0)</f>
        <v>128</v>
      </c>
      <c r="F237" s="30">
        <f>VLOOKUP(D237,[6]LMAU!A:C,3,0)</f>
        <v>250</v>
      </c>
    </row>
    <row r="238" spans="1:6" x14ac:dyDescent="0.3">
      <c r="A238" s="2">
        <v>44981</v>
      </c>
      <c r="B238" s="1">
        <v>30</v>
      </c>
      <c r="C238">
        <f t="shared" si="6"/>
        <v>8</v>
      </c>
      <c r="D238">
        <f t="shared" si="7"/>
        <v>2</v>
      </c>
      <c r="E238">
        <f>VLOOKUP([6]LDAU!C238,[6]LWAU!A:C,3,0)</f>
        <v>128</v>
      </c>
      <c r="F238" s="30">
        <f>VLOOKUP(D238,[6]LMAU!A:C,3,0)</f>
        <v>250</v>
      </c>
    </row>
    <row r="239" spans="1:6" x14ac:dyDescent="0.3">
      <c r="A239" s="2">
        <v>44982</v>
      </c>
      <c r="B239" s="1">
        <v>39</v>
      </c>
      <c r="C239">
        <f t="shared" si="6"/>
        <v>8</v>
      </c>
      <c r="D239">
        <f t="shared" si="7"/>
        <v>2</v>
      </c>
      <c r="E239">
        <f>VLOOKUP([6]LDAU!C239,[6]LWAU!A:C,3,0)</f>
        <v>128</v>
      </c>
      <c r="F239" s="30">
        <f>VLOOKUP(D239,[6]LMAU!A:C,3,0)</f>
        <v>250</v>
      </c>
    </row>
    <row r="240" spans="1:6" x14ac:dyDescent="0.3">
      <c r="A240" s="2">
        <v>44983</v>
      </c>
      <c r="B240" s="1">
        <v>46</v>
      </c>
      <c r="C240">
        <f t="shared" si="6"/>
        <v>8</v>
      </c>
      <c r="D240">
        <f t="shared" si="7"/>
        <v>2</v>
      </c>
      <c r="E240">
        <f>VLOOKUP([6]LDAU!C240,[6]LWAU!A:C,3,0)</f>
        <v>128</v>
      </c>
      <c r="F240" s="30">
        <f>VLOOKUP(D240,[6]LMAU!A:C,3,0)</f>
        <v>250</v>
      </c>
    </row>
    <row r="241" spans="1:6" x14ac:dyDescent="0.3">
      <c r="A241" s="2">
        <v>44984</v>
      </c>
      <c r="B241" s="1">
        <v>36</v>
      </c>
      <c r="C241">
        <f t="shared" si="6"/>
        <v>9</v>
      </c>
      <c r="D241">
        <f t="shared" si="7"/>
        <v>2</v>
      </c>
      <c r="E241">
        <f>VLOOKUP([6]LDAU!C241,[6]LWAU!A:C,3,0)</f>
        <v>219</v>
      </c>
      <c r="F241" s="30">
        <f>VLOOKUP(D241,[6]LMAU!A:C,3,0)</f>
        <v>250</v>
      </c>
    </row>
    <row r="242" spans="1:6" x14ac:dyDescent="0.3">
      <c r="A242" s="2">
        <v>44985</v>
      </c>
      <c r="B242" s="1">
        <v>44</v>
      </c>
      <c r="C242">
        <f t="shared" si="6"/>
        <v>9</v>
      </c>
      <c r="D242">
        <f t="shared" si="7"/>
        <v>2</v>
      </c>
      <c r="E242">
        <f>VLOOKUP([6]LDAU!C242,[6]LWAU!A:C,3,0)</f>
        <v>219</v>
      </c>
      <c r="F242" s="30">
        <f>VLOOKUP(D242,[6]LMAU!A:C,3,0)</f>
        <v>250</v>
      </c>
    </row>
    <row r="243" spans="1:6" x14ac:dyDescent="0.3">
      <c r="A243" s="2">
        <v>44986</v>
      </c>
      <c r="B243" s="1">
        <v>42</v>
      </c>
      <c r="C243">
        <f t="shared" si="6"/>
        <v>9</v>
      </c>
      <c r="D243">
        <f t="shared" si="7"/>
        <v>3</v>
      </c>
      <c r="E243">
        <f>VLOOKUP([6]LDAU!C243,[6]LWAU!A:C,3,0)</f>
        <v>219</v>
      </c>
      <c r="F243" s="30">
        <f>VLOOKUP(D243,[6]LMAU!A:C,3,0)</f>
        <v>532</v>
      </c>
    </row>
    <row r="244" spans="1:6" x14ac:dyDescent="0.3">
      <c r="A244" s="2">
        <v>44987</v>
      </c>
      <c r="B244" s="1">
        <v>46</v>
      </c>
      <c r="C244">
        <f t="shared" si="6"/>
        <v>9</v>
      </c>
      <c r="D244">
        <f t="shared" si="7"/>
        <v>3</v>
      </c>
      <c r="E244">
        <f>VLOOKUP([6]LDAU!C244,[6]LWAU!A:C,3,0)</f>
        <v>219</v>
      </c>
      <c r="F244" s="30">
        <f>VLOOKUP(D244,[6]LMAU!A:C,3,0)</f>
        <v>532</v>
      </c>
    </row>
    <row r="245" spans="1:6" x14ac:dyDescent="0.3">
      <c r="A245" s="2">
        <v>44988</v>
      </c>
      <c r="B245" s="1">
        <v>55</v>
      </c>
      <c r="C245">
        <f t="shared" si="6"/>
        <v>9</v>
      </c>
      <c r="D245">
        <f t="shared" si="7"/>
        <v>3</v>
      </c>
      <c r="E245">
        <f>VLOOKUP([6]LDAU!C245,[6]LWAU!A:C,3,0)</f>
        <v>219</v>
      </c>
      <c r="F245" s="30">
        <f>VLOOKUP(D245,[6]LMAU!A:C,3,0)</f>
        <v>532</v>
      </c>
    </row>
    <row r="246" spans="1:6" x14ac:dyDescent="0.3">
      <c r="A246" s="2">
        <v>44989</v>
      </c>
      <c r="B246" s="1">
        <v>53</v>
      </c>
      <c r="C246">
        <f t="shared" si="6"/>
        <v>9</v>
      </c>
      <c r="D246">
        <f t="shared" si="7"/>
        <v>3</v>
      </c>
      <c r="E246">
        <f>VLOOKUP([6]LDAU!C246,[6]LWAU!A:C,3,0)</f>
        <v>219</v>
      </c>
      <c r="F246" s="30">
        <f>VLOOKUP(D246,[6]LMAU!A:C,3,0)</f>
        <v>532</v>
      </c>
    </row>
    <row r="247" spans="1:6" x14ac:dyDescent="0.3">
      <c r="A247" s="2">
        <v>44990</v>
      </c>
      <c r="B247" s="1">
        <v>64</v>
      </c>
      <c r="C247">
        <f t="shared" si="6"/>
        <v>9</v>
      </c>
      <c r="D247">
        <f t="shared" si="7"/>
        <v>3</v>
      </c>
      <c r="E247">
        <f>VLOOKUP([6]LDAU!C247,[6]LWAU!A:C,3,0)</f>
        <v>219</v>
      </c>
      <c r="F247" s="30">
        <f>VLOOKUP(D247,[6]LMAU!A:C,3,0)</f>
        <v>532</v>
      </c>
    </row>
    <row r="248" spans="1:6" x14ac:dyDescent="0.3">
      <c r="A248" s="2">
        <v>44991</v>
      </c>
      <c r="B248" s="1">
        <v>57</v>
      </c>
      <c r="C248">
        <f t="shared" si="6"/>
        <v>10</v>
      </c>
      <c r="D248">
        <f t="shared" si="7"/>
        <v>3</v>
      </c>
      <c r="E248">
        <f>VLOOKUP([6]LDAU!C248,[6]LWAU!A:C,3,0)</f>
        <v>243</v>
      </c>
      <c r="F248" s="30">
        <f>VLOOKUP(D248,[6]LMAU!A:C,3,0)</f>
        <v>532</v>
      </c>
    </row>
    <row r="249" spans="1:6" x14ac:dyDescent="0.3">
      <c r="A249" s="2">
        <v>44992</v>
      </c>
      <c r="B249" s="1">
        <v>37</v>
      </c>
      <c r="C249">
        <f t="shared" si="6"/>
        <v>10</v>
      </c>
      <c r="D249">
        <f t="shared" si="7"/>
        <v>3</v>
      </c>
      <c r="E249">
        <f>VLOOKUP([6]LDAU!C249,[6]LWAU!A:C,3,0)</f>
        <v>243</v>
      </c>
      <c r="F249" s="30">
        <f>VLOOKUP(D249,[6]LMAU!A:C,3,0)</f>
        <v>532</v>
      </c>
    </row>
    <row r="250" spans="1:6" x14ac:dyDescent="0.3">
      <c r="A250" s="2">
        <v>44993</v>
      </c>
      <c r="B250" s="1">
        <v>55</v>
      </c>
      <c r="C250">
        <f t="shared" si="6"/>
        <v>10</v>
      </c>
      <c r="D250">
        <f t="shared" si="7"/>
        <v>3</v>
      </c>
      <c r="E250">
        <f>VLOOKUP([6]LDAU!C250,[6]LWAU!A:C,3,0)</f>
        <v>243</v>
      </c>
      <c r="F250" s="30">
        <f>VLOOKUP(D250,[6]LMAU!A:C,3,0)</f>
        <v>532</v>
      </c>
    </row>
    <row r="251" spans="1:6" x14ac:dyDescent="0.3">
      <c r="A251" s="2">
        <v>44994</v>
      </c>
      <c r="B251" s="1">
        <v>59</v>
      </c>
      <c r="C251">
        <f t="shared" si="6"/>
        <v>10</v>
      </c>
      <c r="D251">
        <f t="shared" si="7"/>
        <v>3</v>
      </c>
      <c r="E251">
        <f>VLOOKUP([6]LDAU!C251,[6]LWAU!A:C,3,0)</f>
        <v>243</v>
      </c>
      <c r="F251" s="30">
        <f>VLOOKUP(D251,[6]LMAU!A:C,3,0)</f>
        <v>532</v>
      </c>
    </row>
    <row r="252" spans="1:6" x14ac:dyDescent="0.3">
      <c r="A252" s="2">
        <v>44995</v>
      </c>
      <c r="B252" s="1">
        <v>60</v>
      </c>
      <c r="C252">
        <f t="shared" si="6"/>
        <v>10</v>
      </c>
      <c r="D252">
        <f t="shared" si="7"/>
        <v>3</v>
      </c>
      <c r="E252">
        <f>VLOOKUP([6]LDAU!C252,[6]LWAU!A:C,3,0)</f>
        <v>243</v>
      </c>
      <c r="F252" s="30">
        <f>VLOOKUP(D252,[6]LMAU!A:C,3,0)</f>
        <v>532</v>
      </c>
    </row>
    <row r="253" spans="1:6" x14ac:dyDescent="0.3">
      <c r="A253" s="2">
        <v>44996</v>
      </c>
      <c r="B253" s="1">
        <v>55</v>
      </c>
      <c r="C253">
        <f t="shared" si="6"/>
        <v>10</v>
      </c>
      <c r="D253">
        <f t="shared" si="7"/>
        <v>3</v>
      </c>
      <c r="E253">
        <f>VLOOKUP([6]LDAU!C253,[6]LWAU!A:C,3,0)</f>
        <v>243</v>
      </c>
      <c r="F253" s="30">
        <f>VLOOKUP(D253,[6]LMAU!A:C,3,0)</f>
        <v>532</v>
      </c>
    </row>
    <row r="254" spans="1:6" x14ac:dyDescent="0.3">
      <c r="A254" s="2">
        <v>44997</v>
      </c>
      <c r="B254" s="1">
        <v>54</v>
      </c>
      <c r="C254">
        <f t="shared" si="6"/>
        <v>10</v>
      </c>
      <c r="D254">
        <f t="shared" si="7"/>
        <v>3</v>
      </c>
      <c r="E254">
        <f>VLOOKUP([6]LDAU!C254,[6]LWAU!A:C,3,0)</f>
        <v>243</v>
      </c>
      <c r="F254" s="30">
        <f>VLOOKUP(D254,[6]LMAU!A:C,3,0)</f>
        <v>532</v>
      </c>
    </row>
    <row r="255" spans="1:6" x14ac:dyDescent="0.3">
      <c r="A255" s="2">
        <v>44998</v>
      </c>
      <c r="B255" s="1">
        <v>64</v>
      </c>
      <c r="C255">
        <f t="shared" si="6"/>
        <v>11</v>
      </c>
      <c r="D255">
        <f t="shared" si="7"/>
        <v>3</v>
      </c>
      <c r="E255">
        <f>VLOOKUP([6]LDAU!C255,[6]LWAU!A:C,3,0)</f>
        <v>265</v>
      </c>
      <c r="F255" s="30">
        <f>VLOOKUP(D255,[6]LMAU!A:C,3,0)</f>
        <v>532</v>
      </c>
    </row>
    <row r="256" spans="1:6" x14ac:dyDescent="0.3">
      <c r="A256" s="2">
        <v>44999</v>
      </c>
      <c r="B256" s="1">
        <v>47</v>
      </c>
      <c r="C256">
        <f t="shared" si="6"/>
        <v>11</v>
      </c>
      <c r="D256">
        <f t="shared" si="7"/>
        <v>3</v>
      </c>
      <c r="E256">
        <f>VLOOKUP([6]LDAU!C256,[6]LWAU!A:C,3,0)</f>
        <v>265</v>
      </c>
      <c r="F256" s="30">
        <f>VLOOKUP(D256,[6]LMAU!A:C,3,0)</f>
        <v>532</v>
      </c>
    </row>
    <row r="257" spans="1:6" x14ac:dyDescent="0.3">
      <c r="A257" s="2">
        <v>45000</v>
      </c>
      <c r="B257" s="1">
        <v>66</v>
      </c>
      <c r="C257">
        <f t="shared" si="6"/>
        <v>11</v>
      </c>
      <c r="D257">
        <f t="shared" si="7"/>
        <v>3</v>
      </c>
      <c r="E257">
        <f>VLOOKUP([6]LDAU!C257,[6]LWAU!A:C,3,0)</f>
        <v>265</v>
      </c>
      <c r="F257" s="30">
        <f>VLOOKUP(D257,[6]LMAU!A:C,3,0)</f>
        <v>532</v>
      </c>
    </row>
    <row r="258" spans="1:6" x14ac:dyDescent="0.3">
      <c r="A258" s="2">
        <v>45001</v>
      </c>
      <c r="B258" s="1">
        <v>69</v>
      </c>
      <c r="C258">
        <f t="shared" si="6"/>
        <v>11</v>
      </c>
      <c r="D258">
        <f t="shared" si="7"/>
        <v>3</v>
      </c>
      <c r="E258">
        <f>VLOOKUP([6]LDAU!C258,[6]LWAU!A:C,3,0)</f>
        <v>265</v>
      </c>
      <c r="F258" s="30">
        <f>VLOOKUP(D258,[6]LMAU!A:C,3,0)</f>
        <v>532</v>
      </c>
    </row>
    <row r="259" spans="1:6" x14ac:dyDescent="0.3">
      <c r="A259" s="2">
        <v>45002</v>
      </c>
      <c r="B259" s="1">
        <v>52</v>
      </c>
      <c r="C259">
        <f t="shared" ref="C259:C303" si="8">_xlfn.ISOWEEKNUM(A259)</f>
        <v>11</v>
      </c>
      <c r="D259">
        <f t="shared" ref="D259:D303" si="9">MONTH(A259)</f>
        <v>3</v>
      </c>
      <c r="E259">
        <f>VLOOKUP([6]LDAU!C259,[6]LWAU!A:C,3,0)</f>
        <v>265</v>
      </c>
      <c r="F259" s="30">
        <f>VLOOKUP(D259,[6]LMAU!A:C,3,0)</f>
        <v>532</v>
      </c>
    </row>
    <row r="260" spans="1:6" x14ac:dyDescent="0.3">
      <c r="A260" s="2">
        <v>45003</v>
      </c>
      <c r="B260" s="1">
        <v>65</v>
      </c>
      <c r="C260">
        <f t="shared" si="8"/>
        <v>11</v>
      </c>
      <c r="D260">
        <f t="shared" si="9"/>
        <v>3</v>
      </c>
      <c r="E260">
        <f>VLOOKUP([6]LDAU!C260,[6]LWAU!A:C,3,0)</f>
        <v>265</v>
      </c>
      <c r="F260" s="30">
        <f>VLOOKUP(D260,[6]LMAU!A:C,3,0)</f>
        <v>532</v>
      </c>
    </row>
    <row r="261" spans="1:6" x14ac:dyDescent="0.3">
      <c r="A261" s="2">
        <v>45004</v>
      </c>
      <c r="B261" s="1">
        <v>75</v>
      </c>
      <c r="C261">
        <f t="shared" si="8"/>
        <v>11</v>
      </c>
      <c r="D261">
        <f t="shared" si="9"/>
        <v>3</v>
      </c>
      <c r="E261">
        <f>VLOOKUP([6]LDAU!C261,[6]LWAU!A:C,3,0)</f>
        <v>265</v>
      </c>
      <c r="F261" s="30">
        <f>VLOOKUP(D261,[6]LMAU!A:C,3,0)</f>
        <v>532</v>
      </c>
    </row>
    <row r="262" spans="1:6" x14ac:dyDescent="0.3">
      <c r="A262" s="2">
        <v>45005</v>
      </c>
      <c r="B262" s="1">
        <v>64</v>
      </c>
      <c r="C262">
        <f t="shared" si="8"/>
        <v>12</v>
      </c>
      <c r="D262">
        <f t="shared" si="9"/>
        <v>3</v>
      </c>
      <c r="E262">
        <f>VLOOKUP([6]LDAU!C262,[6]LWAU!A:C,3,0)</f>
        <v>228</v>
      </c>
      <c r="F262" s="30">
        <f>VLOOKUP(D262,[6]LMAU!A:C,3,0)</f>
        <v>532</v>
      </c>
    </row>
    <row r="263" spans="1:6" x14ac:dyDescent="0.3">
      <c r="A263" s="2">
        <v>45006</v>
      </c>
      <c r="B263" s="1">
        <v>75</v>
      </c>
      <c r="C263">
        <f t="shared" si="8"/>
        <v>12</v>
      </c>
      <c r="D263">
        <f t="shared" si="9"/>
        <v>3</v>
      </c>
      <c r="E263">
        <f>VLOOKUP([6]LDAU!C263,[6]LWAU!A:C,3,0)</f>
        <v>228</v>
      </c>
      <c r="F263" s="30">
        <f>VLOOKUP(D263,[6]LMAU!A:C,3,0)</f>
        <v>532</v>
      </c>
    </row>
    <row r="264" spans="1:6" x14ac:dyDescent="0.3">
      <c r="A264" s="2">
        <v>45007</v>
      </c>
      <c r="B264" s="1">
        <v>43</v>
      </c>
      <c r="C264">
        <f t="shared" si="8"/>
        <v>12</v>
      </c>
      <c r="D264">
        <f t="shared" si="9"/>
        <v>3</v>
      </c>
      <c r="E264">
        <f>VLOOKUP([6]LDAU!C264,[6]LWAU!A:C,3,0)</f>
        <v>228</v>
      </c>
      <c r="F264" s="30">
        <f>VLOOKUP(D264,[6]LMAU!A:C,3,0)</f>
        <v>532</v>
      </c>
    </row>
    <row r="265" spans="1:6" x14ac:dyDescent="0.3">
      <c r="A265" s="2">
        <v>45008</v>
      </c>
      <c r="B265" s="1">
        <v>74</v>
      </c>
      <c r="C265">
        <f t="shared" si="8"/>
        <v>12</v>
      </c>
      <c r="D265">
        <f t="shared" si="9"/>
        <v>3</v>
      </c>
      <c r="E265">
        <f>VLOOKUP([6]LDAU!C265,[6]LWAU!A:C,3,0)</f>
        <v>228</v>
      </c>
      <c r="F265" s="30">
        <f>VLOOKUP(D265,[6]LMAU!A:C,3,0)</f>
        <v>532</v>
      </c>
    </row>
    <row r="266" spans="1:6" x14ac:dyDescent="0.3">
      <c r="A266" s="2">
        <v>45009</v>
      </c>
      <c r="B266" s="1">
        <v>48</v>
      </c>
      <c r="C266">
        <f t="shared" si="8"/>
        <v>12</v>
      </c>
      <c r="D266">
        <f t="shared" si="9"/>
        <v>3</v>
      </c>
      <c r="E266">
        <f>VLOOKUP([6]LDAU!C266,[6]LWAU!A:C,3,0)</f>
        <v>228</v>
      </c>
      <c r="F266" s="30">
        <f>VLOOKUP(D266,[6]LMAU!A:C,3,0)</f>
        <v>532</v>
      </c>
    </row>
    <row r="267" spans="1:6" x14ac:dyDescent="0.3">
      <c r="A267" s="2">
        <v>45010</v>
      </c>
      <c r="B267" s="1">
        <v>54</v>
      </c>
      <c r="C267">
        <f t="shared" si="8"/>
        <v>12</v>
      </c>
      <c r="D267">
        <f t="shared" si="9"/>
        <v>3</v>
      </c>
      <c r="E267">
        <f>VLOOKUP([6]LDAU!C267,[6]LWAU!A:C,3,0)</f>
        <v>228</v>
      </c>
      <c r="F267" s="30">
        <f>VLOOKUP(D267,[6]LMAU!A:C,3,0)</f>
        <v>532</v>
      </c>
    </row>
    <row r="268" spans="1:6" x14ac:dyDescent="0.3">
      <c r="A268" s="2">
        <v>45011</v>
      </c>
      <c r="B268" s="1">
        <v>52</v>
      </c>
      <c r="C268">
        <f t="shared" si="8"/>
        <v>12</v>
      </c>
      <c r="D268">
        <f t="shared" si="9"/>
        <v>3</v>
      </c>
      <c r="E268">
        <f>VLOOKUP([6]LDAU!C268,[6]LWAU!A:C,3,0)</f>
        <v>228</v>
      </c>
      <c r="F268" s="30">
        <f>VLOOKUP(D268,[6]LMAU!A:C,3,0)</f>
        <v>532</v>
      </c>
    </row>
    <row r="269" spans="1:6" x14ac:dyDescent="0.3">
      <c r="A269" s="2">
        <v>45012</v>
      </c>
      <c r="B269" s="1">
        <v>46</v>
      </c>
      <c r="C269">
        <f t="shared" si="8"/>
        <v>13</v>
      </c>
      <c r="D269">
        <f t="shared" si="9"/>
        <v>3</v>
      </c>
      <c r="E269">
        <f>VLOOKUP([6]LDAU!C269,[6]LWAU!A:C,3,0)</f>
        <v>210</v>
      </c>
      <c r="F269" s="30">
        <f>VLOOKUP(D269,[6]LMAU!A:C,3,0)</f>
        <v>532</v>
      </c>
    </row>
    <row r="270" spans="1:6" x14ac:dyDescent="0.3">
      <c r="A270" s="2">
        <v>45013</v>
      </c>
      <c r="B270" s="1">
        <v>46</v>
      </c>
      <c r="C270">
        <f t="shared" si="8"/>
        <v>13</v>
      </c>
      <c r="D270">
        <f t="shared" si="9"/>
        <v>3</v>
      </c>
      <c r="E270">
        <f>VLOOKUP([6]LDAU!C270,[6]LWAU!A:C,3,0)</f>
        <v>210</v>
      </c>
      <c r="F270" s="30">
        <f>VLOOKUP(D270,[6]LMAU!A:C,3,0)</f>
        <v>532</v>
      </c>
    </row>
    <row r="271" spans="1:6" x14ac:dyDescent="0.3">
      <c r="A271" s="2">
        <v>45014</v>
      </c>
      <c r="B271" s="1">
        <v>49</v>
      </c>
      <c r="C271">
        <f t="shared" si="8"/>
        <v>13</v>
      </c>
      <c r="D271">
        <f t="shared" si="9"/>
        <v>3</v>
      </c>
      <c r="E271">
        <f>VLOOKUP([6]LDAU!C271,[6]LWAU!A:C,3,0)</f>
        <v>210</v>
      </c>
      <c r="F271" s="30">
        <f>VLOOKUP(D271,[6]LMAU!A:C,3,0)</f>
        <v>532</v>
      </c>
    </row>
    <row r="272" spans="1:6" x14ac:dyDescent="0.3">
      <c r="A272" s="2">
        <v>45015</v>
      </c>
      <c r="B272" s="1">
        <v>42</v>
      </c>
      <c r="C272">
        <f t="shared" si="8"/>
        <v>13</v>
      </c>
      <c r="D272">
        <f t="shared" si="9"/>
        <v>3</v>
      </c>
      <c r="E272">
        <f>VLOOKUP([6]LDAU!C272,[6]LWAU!A:C,3,0)</f>
        <v>210</v>
      </c>
      <c r="F272" s="30">
        <f>VLOOKUP(D272,[6]LMAU!A:C,3,0)</f>
        <v>532</v>
      </c>
    </row>
    <row r="273" spans="1:6" x14ac:dyDescent="0.3">
      <c r="A273" s="2">
        <v>45016</v>
      </c>
      <c r="B273" s="1">
        <v>58</v>
      </c>
      <c r="C273">
        <f t="shared" si="8"/>
        <v>13</v>
      </c>
      <c r="D273">
        <f t="shared" si="9"/>
        <v>3</v>
      </c>
      <c r="E273">
        <f>VLOOKUP([6]LDAU!C273,[6]LWAU!A:C,3,0)</f>
        <v>210</v>
      </c>
      <c r="F273" s="30">
        <f>VLOOKUP(D273,[6]LMAU!A:C,3,0)</f>
        <v>532</v>
      </c>
    </row>
    <row r="274" spans="1:6" x14ac:dyDescent="0.3">
      <c r="A274" s="2">
        <v>45017</v>
      </c>
      <c r="B274" s="1">
        <v>65</v>
      </c>
      <c r="C274">
        <f t="shared" si="8"/>
        <v>13</v>
      </c>
      <c r="D274">
        <f t="shared" si="9"/>
        <v>4</v>
      </c>
      <c r="E274">
        <f>VLOOKUP([6]LDAU!C274,[6]LWAU!A:C,3,0)</f>
        <v>210</v>
      </c>
      <c r="F274" s="30">
        <f>VLOOKUP(D274,[6]LMAU!A:C,3,0)</f>
        <v>341</v>
      </c>
    </row>
    <row r="275" spans="1:6" x14ac:dyDescent="0.3">
      <c r="A275" s="2">
        <v>45018</v>
      </c>
      <c r="B275" s="1">
        <v>58</v>
      </c>
      <c r="C275">
        <f t="shared" si="8"/>
        <v>13</v>
      </c>
      <c r="D275">
        <f t="shared" si="9"/>
        <v>4</v>
      </c>
      <c r="E275">
        <f>VLOOKUP([6]LDAU!C275,[6]LWAU!A:C,3,0)</f>
        <v>210</v>
      </c>
      <c r="F275" s="30">
        <f>VLOOKUP(D275,[6]LMAU!A:C,3,0)</f>
        <v>341</v>
      </c>
    </row>
    <row r="276" spans="1:6" x14ac:dyDescent="0.3">
      <c r="A276" s="2">
        <v>45019</v>
      </c>
      <c r="B276" s="1">
        <v>57</v>
      </c>
      <c r="C276">
        <f t="shared" si="8"/>
        <v>14</v>
      </c>
      <c r="D276">
        <f t="shared" si="9"/>
        <v>4</v>
      </c>
      <c r="E276">
        <f>VLOOKUP([6]LDAU!C276,[6]LWAU!A:C,3,0)</f>
        <v>234</v>
      </c>
      <c r="F276" s="30">
        <f>VLOOKUP(D276,[6]LMAU!A:C,3,0)</f>
        <v>341</v>
      </c>
    </row>
    <row r="277" spans="1:6" x14ac:dyDescent="0.3">
      <c r="A277" s="2">
        <v>45020</v>
      </c>
      <c r="B277" s="1">
        <v>61</v>
      </c>
      <c r="C277">
        <f t="shared" si="8"/>
        <v>14</v>
      </c>
      <c r="D277">
        <f t="shared" si="9"/>
        <v>4</v>
      </c>
      <c r="E277">
        <f>VLOOKUP([6]LDAU!C277,[6]LWAU!A:C,3,0)</f>
        <v>234</v>
      </c>
      <c r="F277" s="30">
        <f>VLOOKUP(D277,[6]LMAU!A:C,3,0)</f>
        <v>341</v>
      </c>
    </row>
    <row r="278" spans="1:6" x14ac:dyDescent="0.3">
      <c r="A278" s="2">
        <v>45021</v>
      </c>
      <c r="B278" s="1">
        <v>67</v>
      </c>
      <c r="C278">
        <f t="shared" si="8"/>
        <v>14</v>
      </c>
      <c r="D278">
        <f t="shared" si="9"/>
        <v>4</v>
      </c>
      <c r="E278">
        <f>VLOOKUP([6]LDAU!C278,[6]LWAU!A:C,3,0)</f>
        <v>234</v>
      </c>
      <c r="F278" s="30">
        <f>VLOOKUP(D278,[6]LMAU!A:C,3,0)</f>
        <v>341</v>
      </c>
    </row>
    <row r="279" spans="1:6" x14ac:dyDescent="0.3">
      <c r="A279" s="2">
        <v>45022</v>
      </c>
      <c r="B279" s="1">
        <v>69</v>
      </c>
      <c r="C279">
        <f t="shared" si="8"/>
        <v>14</v>
      </c>
      <c r="D279">
        <f t="shared" si="9"/>
        <v>4</v>
      </c>
      <c r="E279">
        <f>VLOOKUP([6]LDAU!C279,[6]LWAU!A:C,3,0)</f>
        <v>234</v>
      </c>
      <c r="F279" s="30">
        <f>VLOOKUP(D279,[6]LMAU!A:C,3,0)</f>
        <v>341</v>
      </c>
    </row>
    <row r="280" spans="1:6" x14ac:dyDescent="0.3">
      <c r="A280" s="2">
        <v>45023</v>
      </c>
      <c r="B280" s="1">
        <v>53</v>
      </c>
      <c r="C280">
        <f t="shared" si="8"/>
        <v>14</v>
      </c>
      <c r="D280">
        <f t="shared" si="9"/>
        <v>4</v>
      </c>
      <c r="E280">
        <f>VLOOKUP([6]LDAU!C280,[6]LWAU!A:C,3,0)</f>
        <v>234</v>
      </c>
      <c r="F280" s="30">
        <f>VLOOKUP(D280,[6]LMAU!A:C,3,0)</f>
        <v>341</v>
      </c>
    </row>
    <row r="281" spans="1:6" x14ac:dyDescent="0.3">
      <c r="A281" s="2">
        <v>45024</v>
      </c>
      <c r="B281" s="1">
        <v>69</v>
      </c>
      <c r="C281">
        <f t="shared" si="8"/>
        <v>14</v>
      </c>
      <c r="D281">
        <f t="shared" si="9"/>
        <v>4</v>
      </c>
      <c r="E281">
        <f>VLOOKUP([6]LDAU!C281,[6]LWAU!A:C,3,0)</f>
        <v>234</v>
      </c>
      <c r="F281" s="30">
        <f>VLOOKUP(D281,[6]LMAU!A:C,3,0)</f>
        <v>341</v>
      </c>
    </row>
    <row r="282" spans="1:6" x14ac:dyDescent="0.3">
      <c r="A282" s="2">
        <v>45025</v>
      </c>
      <c r="B282" s="1">
        <v>61</v>
      </c>
      <c r="C282">
        <f t="shared" si="8"/>
        <v>14</v>
      </c>
      <c r="D282">
        <f t="shared" si="9"/>
        <v>4</v>
      </c>
      <c r="E282">
        <f>VLOOKUP([6]LDAU!C282,[6]LWAU!A:C,3,0)</f>
        <v>234</v>
      </c>
      <c r="F282" s="30">
        <f>VLOOKUP(D282,[6]LMAU!A:C,3,0)</f>
        <v>341</v>
      </c>
    </row>
    <row r="283" spans="1:6" x14ac:dyDescent="0.3">
      <c r="A283" s="2">
        <v>45026</v>
      </c>
      <c r="B283" s="1">
        <v>46</v>
      </c>
      <c r="C283">
        <f t="shared" si="8"/>
        <v>15</v>
      </c>
      <c r="D283">
        <f t="shared" si="9"/>
        <v>4</v>
      </c>
      <c r="E283">
        <f>VLOOKUP([6]LDAU!C283,[6]LWAU!A:C,3,0)</f>
        <v>194</v>
      </c>
      <c r="F283" s="30">
        <f>VLOOKUP(D283,[6]LMAU!A:C,3,0)</f>
        <v>341</v>
      </c>
    </row>
    <row r="284" spans="1:6" x14ac:dyDescent="0.3">
      <c r="A284" s="2">
        <v>45027</v>
      </c>
      <c r="B284" s="1">
        <v>52</v>
      </c>
      <c r="C284">
        <f t="shared" si="8"/>
        <v>15</v>
      </c>
      <c r="D284">
        <f t="shared" si="9"/>
        <v>4</v>
      </c>
      <c r="E284">
        <f>VLOOKUP([6]LDAU!C284,[6]LWAU!A:C,3,0)</f>
        <v>194</v>
      </c>
      <c r="F284" s="30">
        <f>VLOOKUP(D284,[6]LMAU!A:C,3,0)</f>
        <v>341</v>
      </c>
    </row>
    <row r="285" spans="1:6" x14ac:dyDescent="0.3">
      <c r="A285" s="2">
        <v>45028</v>
      </c>
      <c r="B285" s="1">
        <v>53</v>
      </c>
      <c r="C285">
        <f t="shared" si="8"/>
        <v>15</v>
      </c>
      <c r="D285">
        <f t="shared" si="9"/>
        <v>4</v>
      </c>
      <c r="E285">
        <f>VLOOKUP([6]LDAU!C285,[6]LWAU!A:C,3,0)</f>
        <v>194</v>
      </c>
      <c r="F285" s="30">
        <f>VLOOKUP(D285,[6]LMAU!A:C,3,0)</f>
        <v>341</v>
      </c>
    </row>
    <row r="286" spans="1:6" x14ac:dyDescent="0.3">
      <c r="A286" s="2">
        <v>45029</v>
      </c>
      <c r="B286" s="1">
        <v>49</v>
      </c>
      <c r="C286">
        <f t="shared" si="8"/>
        <v>15</v>
      </c>
      <c r="D286">
        <f t="shared" si="9"/>
        <v>4</v>
      </c>
      <c r="E286">
        <f>VLOOKUP([6]LDAU!C286,[6]LWAU!A:C,3,0)</f>
        <v>194</v>
      </c>
      <c r="F286" s="30">
        <f>VLOOKUP(D286,[6]LMAU!A:C,3,0)</f>
        <v>341</v>
      </c>
    </row>
    <row r="287" spans="1:6" x14ac:dyDescent="0.3">
      <c r="A287" s="2">
        <v>45030</v>
      </c>
      <c r="B287" s="1">
        <v>53</v>
      </c>
      <c r="C287">
        <f t="shared" si="8"/>
        <v>15</v>
      </c>
      <c r="D287">
        <f t="shared" si="9"/>
        <v>4</v>
      </c>
      <c r="E287">
        <f>VLOOKUP([6]LDAU!C287,[6]LWAU!A:C,3,0)</f>
        <v>194</v>
      </c>
      <c r="F287" s="30">
        <f>VLOOKUP(D287,[6]LMAU!A:C,3,0)</f>
        <v>341</v>
      </c>
    </row>
    <row r="288" spans="1:6" x14ac:dyDescent="0.3">
      <c r="A288" s="2">
        <v>45031</v>
      </c>
      <c r="B288" s="1">
        <v>49</v>
      </c>
      <c r="C288">
        <f t="shared" si="8"/>
        <v>15</v>
      </c>
      <c r="D288">
        <f t="shared" si="9"/>
        <v>4</v>
      </c>
      <c r="E288">
        <f>VLOOKUP([6]LDAU!C288,[6]LWAU!A:C,3,0)</f>
        <v>194</v>
      </c>
      <c r="F288" s="30">
        <f>VLOOKUP(D288,[6]LMAU!A:C,3,0)</f>
        <v>341</v>
      </c>
    </row>
    <row r="289" spans="1:6" x14ac:dyDescent="0.3">
      <c r="A289" s="2">
        <v>45032</v>
      </c>
      <c r="B289" s="1">
        <v>55</v>
      </c>
      <c r="C289">
        <f t="shared" si="8"/>
        <v>15</v>
      </c>
      <c r="D289">
        <f t="shared" si="9"/>
        <v>4</v>
      </c>
      <c r="E289">
        <f>VLOOKUP([6]LDAU!C289,[6]LWAU!A:C,3,0)</f>
        <v>194</v>
      </c>
      <c r="F289" s="30">
        <f>VLOOKUP(D289,[6]LMAU!A:C,3,0)</f>
        <v>341</v>
      </c>
    </row>
    <row r="290" spans="1:6" x14ac:dyDescent="0.3">
      <c r="A290" s="2">
        <v>45033</v>
      </c>
      <c r="B290" s="1">
        <v>47</v>
      </c>
      <c r="C290">
        <f t="shared" si="8"/>
        <v>16</v>
      </c>
      <c r="D290">
        <f t="shared" si="9"/>
        <v>4</v>
      </c>
      <c r="E290">
        <f>VLOOKUP([6]LDAU!C290,[6]LWAU!A:C,3,0)</f>
        <v>171</v>
      </c>
      <c r="F290" s="30">
        <f>VLOOKUP(D290,[6]LMAU!A:C,3,0)</f>
        <v>341</v>
      </c>
    </row>
    <row r="291" spans="1:6" x14ac:dyDescent="0.3">
      <c r="A291" s="2">
        <v>45034</v>
      </c>
      <c r="B291" s="1">
        <v>50</v>
      </c>
      <c r="C291">
        <f t="shared" si="8"/>
        <v>16</v>
      </c>
      <c r="D291">
        <f t="shared" si="9"/>
        <v>4</v>
      </c>
      <c r="E291">
        <f>VLOOKUP([6]LDAU!C291,[6]LWAU!A:C,3,0)</f>
        <v>171</v>
      </c>
      <c r="F291" s="30">
        <f>VLOOKUP(D291,[6]LMAU!A:C,3,0)</f>
        <v>341</v>
      </c>
    </row>
    <row r="292" spans="1:6" x14ac:dyDescent="0.3">
      <c r="A292" s="2">
        <v>45035</v>
      </c>
      <c r="B292" s="1">
        <v>41</v>
      </c>
      <c r="C292">
        <f t="shared" si="8"/>
        <v>16</v>
      </c>
      <c r="D292">
        <f t="shared" si="9"/>
        <v>4</v>
      </c>
      <c r="E292">
        <f>VLOOKUP([6]LDAU!C292,[6]LWAU!A:C,3,0)</f>
        <v>171</v>
      </c>
      <c r="F292" s="30">
        <f>VLOOKUP(D292,[6]LMAU!A:C,3,0)</f>
        <v>341</v>
      </c>
    </row>
    <row r="293" spans="1:6" x14ac:dyDescent="0.3">
      <c r="A293" s="2">
        <v>45036</v>
      </c>
      <c r="B293" s="1">
        <v>44</v>
      </c>
      <c r="C293">
        <f t="shared" si="8"/>
        <v>16</v>
      </c>
      <c r="D293">
        <f t="shared" si="9"/>
        <v>4</v>
      </c>
      <c r="E293">
        <f>VLOOKUP([6]LDAU!C293,[6]LWAU!A:C,3,0)</f>
        <v>171</v>
      </c>
      <c r="F293" s="30">
        <f>VLOOKUP(D293,[6]LMAU!A:C,3,0)</f>
        <v>341</v>
      </c>
    </row>
    <row r="294" spans="1:6" x14ac:dyDescent="0.3">
      <c r="A294" s="2">
        <v>45037</v>
      </c>
      <c r="B294" s="1">
        <v>33</v>
      </c>
      <c r="C294">
        <f t="shared" si="8"/>
        <v>16</v>
      </c>
      <c r="D294">
        <f t="shared" si="9"/>
        <v>4</v>
      </c>
      <c r="E294">
        <f>VLOOKUP([6]LDAU!C294,[6]LWAU!A:C,3,0)</f>
        <v>171</v>
      </c>
      <c r="F294" s="30">
        <f>VLOOKUP(D294,[6]LMAU!A:C,3,0)</f>
        <v>341</v>
      </c>
    </row>
    <row r="295" spans="1:6" x14ac:dyDescent="0.3">
      <c r="A295" s="2">
        <v>45038</v>
      </c>
      <c r="B295" s="1">
        <v>31</v>
      </c>
      <c r="C295">
        <f t="shared" si="8"/>
        <v>16</v>
      </c>
      <c r="D295">
        <f t="shared" si="9"/>
        <v>4</v>
      </c>
      <c r="E295">
        <f>VLOOKUP([6]LDAU!C295,[6]LWAU!A:C,3,0)</f>
        <v>171</v>
      </c>
      <c r="F295" s="30">
        <f>VLOOKUP(D295,[6]LMAU!A:C,3,0)</f>
        <v>341</v>
      </c>
    </row>
    <row r="296" spans="1:6" x14ac:dyDescent="0.3">
      <c r="A296" s="2">
        <v>45039</v>
      </c>
      <c r="B296" s="1">
        <v>30</v>
      </c>
      <c r="C296">
        <f t="shared" si="8"/>
        <v>16</v>
      </c>
      <c r="D296">
        <f t="shared" si="9"/>
        <v>4</v>
      </c>
      <c r="E296">
        <f>VLOOKUP([6]LDAU!C296,[6]LWAU!A:C,3,0)</f>
        <v>171</v>
      </c>
      <c r="F296" s="30">
        <f>VLOOKUP(D296,[6]LMAU!A:C,3,0)</f>
        <v>341</v>
      </c>
    </row>
    <row r="297" spans="1:6" x14ac:dyDescent="0.3">
      <c r="A297" s="2">
        <v>45040</v>
      </c>
      <c r="B297" s="1">
        <v>29</v>
      </c>
      <c r="C297">
        <f t="shared" si="8"/>
        <v>17</v>
      </c>
      <c r="D297">
        <f t="shared" si="9"/>
        <v>4</v>
      </c>
      <c r="E297">
        <f>VLOOKUP([6]LDAU!C297,[6]LWAU!A:C,3,0)</f>
        <v>139</v>
      </c>
      <c r="F297" s="30">
        <f>VLOOKUP(D297,[6]LMAU!A:C,3,0)</f>
        <v>341</v>
      </c>
    </row>
    <row r="298" spans="1:6" x14ac:dyDescent="0.3">
      <c r="A298" s="2">
        <v>45041</v>
      </c>
      <c r="B298" s="1">
        <v>31</v>
      </c>
      <c r="C298">
        <f t="shared" si="8"/>
        <v>17</v>
      </c>
      <c r="D298">
        <f t="shared" si="9"/>
        <v>4</v>
      </c>
      <c r="E298">
        <f>VLOOKUP([6]LDAU!C298,[6]LWAU!A:C,3,0)</f>
        <v>139</v>
      </c>
      <c r="F298" s="30">
        <f>VLOOKUP(D298,[6]LMAU!A:C,3,0)</f>
        <v>341</v>
      </c>
    </row>
    <row r="299" spans="1:6" x14ac:dyDescent="0.3">
      <c r="A299" s="2">
        <v>45042</v>
      </c>
      <c r="B299" s="1">
        <v>31</v>
      </c>
      <c r="C299">
        <f t="shared" si="8"/>
        <v>17</v>
      </c>
      <c r="D299">
        <f t="shared" si="9"/>
        <v>4</v>
      </c>
      <c r="E299">
        <f>VLOOKUP([6]LDAU!C299,[6]LWAU!A:C,3,0)</f>
        <v>139</v>
      </c>
      <c r="F299" s="30">
        <f>VLOOKUP(D299,[6]LMAU!A:C,3,0)</f>
        <v>341</v>
      </c>
    </row>
    <row r="300" spans="1:6" x14ac:dyDescent="0.3">
      <c r="A300" s="2">
        <v>45043</v>
      </c>
      <c r="B300" s="1">
        <v>19</v>
      </c>
      <c r="C300">
        <f t="shared" si="8"/>
        <v>17</v>
      </c>
      <c r="D300">
        <f t="shared" si="9"/>
        <v>4</v>
      </c>
      <c r="E300">
        <f>VLOOKUP([6]LDAU!C300,[6]LWAU!A:C,3,0)</f>
        <v>139</v>
      </c>
      <c r="F300" s="30">
        <f>VLOOKUP(D300,[6]LMAU!A:C,3,0)</f>
        <v>341</v>
      </c>
    </row>
    <row r="301" spans="1:6" x14ac:dyDescent="0.3">
      <c r="A301" s="2">
        <v>45044</v>
      </c>
      <c r="B301" s="1">
        <v>26</v>
      </c>
      <c r="C301">
        <f t="shared" si="8"/>
        <v>17</v>
      </c>
      <c r="D301">
        <f t="shared" si="9"/>
        <v>4</v>
      </c>
      <c r="E301">
        <f>VLOOKUP([6]LDAU!C301,[6]LWAU!A:C,3,0)</f>
        <v>139</v>
      </c>
      <c r="F301" s="30">
        <f>VLOOKUP(D301,[6]LMAU!A:C,3,0)</f>
        <v>341</v>
      </c>
    </row>
    <row r="302" spans="1:6" x14ac:dyDescent="0.3">
      <c r="A302" s="2">
        <v>45045</v>
      </c>
      <c r="B302" s="1">
        <v>24</v>
      </c>
      <c r="C302">
        <f t="shared" si="8"/>
        <v>17</v>
      </c>
      <c r="D302">
        <f t="shared" si="9"/>
        <v>4</v>
      </c>
      <c r="E302">
        <f>VLOOKUP([6]LDAU!C302,[6]LWAU!A:C,3,0)</f>
        <v>139</v>
      </c>
      <c r="F302" s="30">
        <f>VLOOKUP(D302,[6]LMAU!A:C,3,0)</f>
        <v>341</v>
      </c>
    </row>
    <row r="303" spans="1:6" ht="15" thickBot="1" x14ac:dyDescent="0.35">
      <c r="A303" s="4">
        <v>45046</v>
      </c>
      <c r="B303" s="29">
        <v>23</v>
      </c>
      <c r="C303" s="24">
        <f t="shared" si="8"/>
        <v>17</v>
      </c>
      <c r="D303" s="24">
        <f t="shared" si="9"/>
        <v>4</v>
      </c>
      <c r="E303" s="24">
        <f>VLOOKUP([6]LDAU!C303,[6]LWAU!A:C,3,0)</f>
        <v>139</v>
      </c>
      <c r="F303" s="25">
        <f>VLOOKUP(D303,[6]LMAU!A:C,3,0)</f>
        <v>341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92EE-4195-4099-854C-B2E9B070EE2C}">
  <dimension ref="A1:B11"/>
  <sheetViews>
    <sheetView workbookViewId="0">
      <selection activeCell="D2" sqref="D2"/>
    </sheetView>
  </sheetViews>
  <sheetFormatPr defaultRowHeight="14.4" x14ac:dyDescent="0.3"/>
  <cols>
    <col min="1" max="1" width="10.109375" bestFit="1" customWidth="1"/>
  </cols>
  <sheetData>
    <row r="1" spans="1:2" ht="15" thickBot="1" x14ac:dyDescent="0.35">
      <c r="A1" s="26" t="s">
        <v>22</v>
      </c>
      <c r="B1" s="28" t="s">
        <v>1</v>
      </c>
    </row>
    <row r="2" spans="1:2" x14ac:dyDescent="0.3">
      <c r="A2" s="2">
        <v>44743</v>
      </c>
      <c r="B2" s="3">
        <v>19</v>
      </c>
    </row>
    <row r="3" spans="1:2" x14ac:dyDescent="0.3">
      <c r="A3" s="2">
        <v>44774</v>
      </c>
      <c r="B3" s="3">
        <v>32</v>
      </c>
    </row>
    <row r="4" spans="1:2" x14ac:dyDescent="0.3">
      <c r="A4" s="2">
        <v>44805</v>
      </c>
      <c r="B4" s="3">
        <v>29</v>
      </c>
    </row>
    <row r="5" spans="1:2" x14ac:dyDescent="0.3">
      <c r="A5" s="2">
        <v>44835</v>
      </c>
      <c r="B5" s="3">
        <v>35</v>
      </c>
    </row>
    <row r="6" spans="1:2" x14ac:dyDescent="0.3">
      <c r="A6" s="2">
        <v>44866</v>
      </c>
      <c r="B6" s="3">
        <v>38</v>
      </c>
    </row>
    <row r="7" spans="1:2" x14ac:dyDescent="0.3">
      <c r="A7" s="2">
        <v>44896</v>
      </c>
      <c r="B7" s="3">
        <v>38</v>
      </c>
    </row>
    <row r="8" spans="1:2" x14ac:dyDescent="0.3">
      <c r="A8" s="2">
        <v>44927</v>
      </c>
      <c r="B8" s="3">
        <v>64</v>
      </c>
    </row>
    <row r="9" spans="1:2" x14ac:dyDescent="0.3">
      <c r="A9" s="2">
        <v>44958</v>
      </c>
      <c r="B9" s="3">
        <v>90</v>
      </c>
    </row>
    <row r="10" spans="1:2" x14ac:dyDescent="0.3">
      <c r="A10" s="2">
        <v>44986</v>
      </c>
      <c r="B10" s="3">
        <v>184</v>
      </c>
    </row>
    <row r="11" spans="1:2" ht="15" thickBot="1" x14ac:dyDescent="0.35">
      <c r="A11" s="4">
        <v>45017</v>
      </c>
      <c r="B11" s="5">
        <v>130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5FE8-7DFB-4936-8CAA-5053310C88CB}">
  <dimension ref="A1:C11"/>
  <sheetViews>
    <sheetView workbookViewId="0">
      <selection activeCell="F29" sqref="F29"/>
    </sheetView>
  </sheetViews>
  <sheetFormatPr defaultRowHeight="14.4" x14ac:dyDescent="0.3"/>
  <cols>
    <col min="1" max="1" width="10.109375" bestFit="1" customWidth="1"/>
    <col min="2" max="2" width="22.77734375" bestFit="1" customWidth="1"/>
    <col min="3" max="3" width="20.109375" bestFit="1" customWidth="1"/>
  </cols>
  <sheetData>
    <row r="1" spans="1:3" ht="15" thickBot="1" x14ac:dyDescent="0.35">
      <c r="A1" s="26" t="s">
        <v>22</v>
      </c>
      <c r="B1" s="28" t="s">
        <v>23</v>
      </c>
      <c r="C1" s="28" t="s">
        <v>24</v>
      </c>
    </row>
    <row r="2" spans="1:3" x14ac:dyDescent="0.3">
      <c r="A2" s="2">
        <v>44743</v>
      </c>
      <c r="B2" s="3">
        <v>91</v>
      </c>
      <c r="C2" s="3">
        <v>5</v>
      </c>
    </row>
    <row r="3" spans="1:3" x14ac:dyDescent="0.3">
      <c r="A3" s="2">
        <v>44774</v>
      </c>
      <c r="B3" s="3">
        <v>170</v>
      </c>
      <c r="C3" s="3">
        <v>10</v>
      </c>
    </row>
    <row r="4" spans="1:3" x14ac:dyDescent="0.3">
      <c r="A4" s="2">
        <v>44805</v>
      </c>
      <c r="B4" s="3">
        <v>161</v>
      </c>
      <c r="C4" s="3">
        <v>10</v>
      </c>
    </row>
    <row r="5" spans="1:3" x14ac:dyDescent="0.3">
      <c r="A5" s="2">
        <v>44835</v>
      </c>
      <c r="B5" s="3">
        <v>156</v>
      </c>
      <c r="C5" s="3">
        <v>12</v>
      </c>
    </row>
    <row r="6" spans="1:3" x14ac:dyDescent="0.3">
      <c r="A6" s="2">
        <v>44866</v>
      </c>
      <c r="B6" s="3">
        <v>179</v>
      </c>
      <c r="C6" s="3">
        <v>17</v>
      </c>
    </row>
    <row r="7" spans="1:3" x14ac:dyDescent="0.3">
      <c r="A7" s="2">
        <v>44896</v>
      </c>
      <c r="B7" s="3">
        <v>176</v>
      </c>
      <c r="C7" s="3">
        <v>16</v>
      </c>
    </row>
    <row r="8" spans="1:3" x14ac:dyDescent="0.3">
      <c r="A8" s="2">
        <v>44927</v>
      </c>
      <c r="B8" s="3">
        <v>255</v>
      </c>
      <c r="C8" s="3">
        <v>22</v>
      </c>
    </row>
    <row r="9" spans="1:3" x14ac:dyDescent="0.3">
      <c r="A9" s="2">
        <v>44958</v>
      </c>
      <c r="B9" s="3">
        <v>311</v>
      </c>
      <c r="C9" s="3">
        <v>29</v>
      </c>
    </row>
    <row r="10" spans="1:3" x14ac:dyDescent="0.3">
      <c r="A10" s="2">
        <v>44986</v>
      </c>
      <c r="B10" s="3">
        <v>655</v>
      </c>
      <c r="C10" s="3">
        <v>61</v>
      </c>
    </row>
    <row r="11" spans="1:3" ht="15" thickBot="1" x14ac:dyDescent="0.35">
      <c r="A11" s="4">
        <v>45017</v>
      </c>
      <c r="B11" s="5">
        <v>429</v>
      </c>
      <c r="C11" s="5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База</vt:lpstr>
      <vt:lpstr>Игровые сессии</vt:lpstr>
      <vt:lpstr>Дин.дл.сессий</vt:lpstr>
      <vt:lpstr>1 сессия</vt:lpstr>
      <vt:lpstr>DAU,WAU,MAU</vt:lpstr>
      <vt:lpstr>LDAU,LWAU,LMAU</vt:lpstr>
      <vt:lpstr>больше 1000 р</vt:lpstr>
      <vt:lpstr>оба критерия лоял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Gargulya1</cp:lastModifiedBy>
  <dcterms:created xsi:type="dcterms:W3CDTF">2026-04-26T07:31:06Z</dcterms:created>
  <dcterms:modified xsi:type="dcterms:W3CDTF">2026-06-28T07:50:26Z</dcterms:modified>
</cp:coreProperties>
</file>